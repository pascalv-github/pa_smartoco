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xr:revisionPtr revIDLastSave="0" documentId="8_{E70FE3BB-AD90-45DB-B70C-0F65C28C3635}" xr6:coauthVersionLast="41" xr6:coauthVersionMax="41" xr10:uidLastSave="{00000000-0000-0000-0000-000000000000}"/>
  <bookViews>
    <workbookView xWindow="-110" yWindow="-110" windowWidth="19420" windowHeight="11020" firstSheet="1" activeTab="1" xr2:uid="{62838900-7620-4BD1-9F06-98362944B898}"/>
  </bookViews>
  <sheets>
    <sheet name="Cognos_Office_Connection_Cache" sheetId="2" state="veryHidden" r:id="rId1"/>
    <sheet name="Sheet2" sheetId="5" r:id="rId2"/>
  </sheets>
  <definedNames>
    <definedName name="cafe_validation_temp" hidden="1">Cognos_Office_Connection_Cache!$B$2:$B$13</definedName>
    <definedName name="ID" localSheetId="0" hidden="1">"bc88436d-3517-4940-996c-b59ebfea9229"</definedName>
    <definedName name="ID" localSheetId="1" hidden="1">"e6e149a3-050d-445d-b0c6-e6d1b0c8ab7b"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5" l="1"/>
  <c r="B2" i="5"/>
  <c r="B5" i="5"/>
  <c r="B3" i="5"/>
  <c r="B6" i="5"/>
  <c r="A1" i="5" l="1"/>
  <c r="B11" i="5"/>
  <c r="E11" i="5"/>
  <c r="E9" i="5"/>
  <c r="D11" i="5"/>
  <c r="B9" i="5"/>
  <c r="F11" i="5"/>
  <c r="F9" i="5"/>
  <c r="G9" i="5"/>
  <c r="C11" i="5"/>
  <c r="C9" i="5"/>
  <c r="D9" i="5"/>
  <c r="G11" i="5"/>
</calcChain>
</file>

<file path=xl/sharedStrings.xml><?xml version="1.0" encoding="utf-8"?>
<sst xmlns="http://schemas.openxmlformats.org/spreadsheetml/2006/main" count="26" uniqueCount="25">
  <si>
    <t>Jan</t>
  </si>
  <si>
    <t>Feb</t>
  </si>
  <si>
    <t>Oct</t>
  </si>
  <si>
    <t>Nov</t>
  </si>
  <si>
    <t>Dec</t>
  </si>
  <si>
    <t>Year</t>
  </si>
  <si>
    <t>Product Total</t>
  </si>
  <si>
    <t>Phones</t>
  </si>
  <si>
    <t>3G Smart Phones</t>
  </si>
  <si>
    <t>4G Smart Phones</t>
  </si>
  <si>
    <t>Phone Only</t>
  </si>
  <si>
    <t>PCs</t>
  </si>
  <si>
    <t>Desktops</t>
  </si>
  <si>
    <t>Laptops</t>
  </si>
  <si>
    <t>Gaming</t>
  </si>
  <si>
    <t>Tablets</t>
  </si>
  <si>
    <t>10 Inch Tablets</t>
  </si>
  <si>
    <t>8 Inch Tablets</t>
  </si>
  <si>
    <t>Gross Revenue</t>
  </si>
  <si>
    <t>organization</t>
  </si>
  <si>
    <t>Channel</t>
  </si>
  <si>
    <t>product</t>
  </si>
  <si>
    <t>Version</t>
  </si>
  <si>
    <t>Units Sold</t>
  </si>
  <si>
    <t>[Book3]Sheet2!B4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</si>
</sst>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6" formatCode="#,###;\(#,###\)"/>
  </numFmts>
  <fonts count="18" x14ac:knownFonts="1"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sz val="10.5"/>
      <color theme="1" tint="0.24994659260841701"/>
      <name val="Arial"/>
      <family val="2"/>
    </font>
    <font>
      <b/>
      <sz val="10.5"/>
      <color theme="1" tint="0.34998626667073579"/>
      <name val="Calibri"/>
      <family val="2"/>
    </font>
    <font>
      <sz val="10.5"/>
      <color theme="1" tint="0.24994659260841701"/>
      <name val="IBM Plex Sans Medium"/>
      <family val="2"/>
    </font>
    <font>
      <sz val="10.5"/>
      <color theme="4" tint="-0.24994659260841701"/>
      <name val="IBM Plex Sans Medium"/>
      <family val="2"/>
    </font>
    <font>
      <sz val="10.5"/>
      <name val="IBM Plex Sans Medium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sz val="10.5"/>
      <color theme="1" tint="0.24994659260841701"/>
      <name val="IBM Plex Sans Light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rgb="FF165D81"/>
      <name val="IBM Plex Sans Medium"/>
      <family val="2"/>
    </font>
    <font>
      <b/>
      <sz val="10.5"/>
      <color theme="4" tint="-0.24994659260841701"/>
      <name val="IBM Plex Sans Medium"/>
      <family val="2"/>
    </font>
    <font>
      <sz val="10.5"/>
      <name val="Arial"/>
      <family val="2"/>
    </font>
    <font>
      <b/>
      <sz val="10.5"/>
      <color theme="3" tint="0.3999450666829432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7">
    <xf numFmtId="0" fontId="0" fillId="0" borderId="0"/>
    <xf numFmtId="0" fontId="1" fillId="0" borderId="1" applyNumberFormat="0" applyFill="0" applyProtection="0">
      <alignment horizontal="center" vertical="center"/>
    </xf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2" fillId="0" borderId="2" applyAlignment="0" applyProtection="0"/>
    <xf numFmtId="3" fontId="1" fillId="0" borderId="1" applyAlignment="0" applyProtection="0"/>
    <xf numFmtId="0" fontId="1" fillId="0" borderId="3" applyNumberFormat="0" applyAlignment="0" applyProtection="0"/>
    <xf numFmtId="3" fontId="1" fillId="0" borderId="1" applyAlignment="0" applyProtection="0"/>
    <xf numFmtId="0" fontId="1" fillId="0" borderId="1" applyNumberFormat="0" applyAlignment="0" applyProtection="0"/>
    <xf numFmtId="0" fontId="1" fillId="0" borderId="3" applyNumberFormat="0" applyAlignment="0" applyProtection="0"/>
    <xf numFmtId="0" fontId="1" fillId="0" borderId="1" applyNumberFormat="0" applyAlignment="0" applyProtection="0"/>
    <xf numFmtId="0" fontId="1" fillId="0" borderId="1" applyNumberFormat="0" applyAlignment="0" applyProtection="0"/>
    <xf numFmtId="0" fontId="1" fillId="0" borderId="1" applyNumberFormat="0" applyFill="0" applyAlignment="0" applyProtection="0"/>
    <xf numFmtId="3" fontId="2" fillId="0" borderId="0" applyFill="0" applyBorder="0" applyAlignment="0" applyProtection="0"/>
    <xf numFmtId="3" fontId="2" fillId="0" borderId="0" applyFill="0" applyAlignment="0" applyProtection="0"/>
    <xf numFmtId="3" fontId="2" fillId="0" borderId="0" applyFill="0" applyAlignment="0" applyProtection="0"/>
    <xf numFmtId="3" fontId="2" fillId="0" borderId="0" applyFill="0" applyAlignment="0" applyProtection="0"/>
    <xf numFmtId="3" fontId="2" fillId="0" borderId="0" applyFill="0" applyAlignment="0" applyProtection="0"/>
    <xf numFmtId="3" fontId="2" fillId="0" borderId="2" applyFill="0" applyAlignment="0" applyProtection="0"/>
    <xf numFmtId="3" fontId="2" fillId="0" borderId="2" applyFill="0" applyAlignment="0" applyProtection="0"/>
    <xf numFmtId="3" fontId="2" fillId="0" borderId="2" applyFill="0" applyAlignment="0" applyProtection="0"/>
    <xf numFmtId="0" fontId="2" fillId="0" borderId="2" applyNumberFormat="0" applyFill="0" applyAlignment="0" applyProtection="0"/>
    <xf numFmtId="0" fontId="3" fillId="0" borderId="2" applyNumberFormat="0" applyFill="0" applyBorder="0" applyAlignment="0" applyProtection="0"/>
    <xf numFmtId="164" fontId="4" fillId="0" borderId="4">
      <alignment horizontal="center" vertical="center"/>
    </xf>
    <xf numFmtId="0" fontId="2" fillId="0" borderId="2">
      <alignment horizontal="right" vertical="center"/>
    </xf>
    <xf numFmtId="3" fontId="2" fillId="2" borderId="2">
      <alignment horizontal="center" vertical="center"/>
    </xf>
    <xf numFmtId="0" fontId="5" fillId="2" borderId="2">
      <alignment horizontal="right" vertical="center"/>
    </xf>
    <xf numFmtId="0" fontId="1" fillId="0" borderId="3">
      <alignment horizontal="left" vertical="center"/>
    </xf>
    <xf numFmtId="0" fontId="6" fillId="0" borderId="5">
      <alignment horizontal="center"/>
    </xf>
    <xf numFmtId="0" fontId="7" fillId="0" borderId="6" applyBorder="0">
      <alignment horizontal="center"/>
    </xf>
    <xf numFmtId="0" fontId="2" fillId="3" borderId="2"/>
    <xf numFmtId="3" fontId="8" fillId="0" borderId="2"/>
    <xf numFmtId="3" fontId="9" fillId="0" borderId="2"/>
    <xf numFmtId="0" fontId="1" fillId="0" borderId="1">
      <alignment horizontal="left" vertical="top"/>
    </xf>
    <xf numFmtId="0" fontId="10" fillId="0" borderId="2"/>
    <xf numFmtId="0" fontId="1" fillId="0" borderId="1">
      <alignment horizontal="left" vertical="center"/>
    </xf>
    <xf numFmtId="0" fontId="7" fillId="0" borderId="0"/>
    <xf numFmtId="37" fontId="11" fillId="0" borderId="0">
      <alignment horizontal="right" vertical="center"/>
    </xf>
    <xf numFmtId="0" fontId="1" fillId="0" borderId="1">
      <alignment horizontal="right" vertical="center"/>
    </xf>
    <xf numFmtId="0" fontId="5" fillId="0" borderId="6" applyBorder="0">
      <alignment horizontal="center" vertical="center"/>
    </xf>
    <xf numFmtId="3" fontId="2" fillId="0" borderId="2"/>
    <xf numFmtId="37" fontId="7" fillId="4" borderId="0" applyFill="0"/>
    <xf numFmtId="0" fontId="5" fillId="0" borderId="6">
      <alignment horizontal="center" vertical="center" wrapText="1"/>
    </xf>
    <xf numFmtId="0" fontId="12" fillId="0" borderId="6">
      <alignment horizontal="left" vertical="center" indent="1"/>
    </xf>
    <xf numFmtId="0" fontId="13" fillId="0" borderId="2"/>
    <xf numFmtId="0" fontId="6" fillId="0" borderId="0" applyBorder="0">
      <alignment horizontal="left" vertical="center"/>
    </xf>
    <xf numFmtId="3" fontId="2" fillId="0" borderId="2">
      <alignment horizontal="center" vertical="center"/>
    </xf>
    <xf numFmtId="0" fontId="14" fillId="0" borderId="1">
      <alignment horizontal="center" vertical="center"/>
    </xf>
    <xf numFmtId="0" fontId="6" fillId="0" borderId="5">
      <alignment horizontal="center"/>
    </xf>
    <xf numFmtId="0" fontId="15" fillId="0" borderId="3">
      <alignment horizontal="left" vertical="center"/>
    </xf>
    <xf numFmtId="0" fontId="16" fillId="0" borderId="0">
      <alignment horizontal="left" vertical="center"/>
    </xf>
    <xf numFmtId="0" fontId="17" fillId="0" borderId="2"/>
  </cellStyleXfs>
  <cellXfs count="10">
    <xf numFmtId="0" fontId="0" fillId="0" borderId="0" xfId="0"/>
    <xf numFmtId="166" fontId="7" fillId="0" borderId="0" xfId="46" applyNumberFormat="1" applyFill="1"/>
    <xf numFmtId="0" fontId="3" fillId="0" borderId="0" xfId="27" applyBorder="1" applyAlignment="1"/>
    <xf numFmtId="0" fontId="3" fillId="0" borderId="0" xfId="27" applyBorder="1" applyAlignment="1">
      <alignment horizontal="left"/>
    </xf>
    <xf numFmtId="0" fontId="3" fillId="0" borderId="0" xfId="27" quotePrefix="1" applyBorder="1" applyAlignment="1"/>
    <xf numFmtId="0" fontId="0" fillId="0" borderId="0" xfId="0" quotePrefix="1"/>
    <xf numFmtId="0" fontId="6" fillId="0" borderId="5" xfId="53" quotePrefix="1">
      <alignment horizontal="center"/>
    </xf>
    <xf numFmtId="0" fontId="16" fillId="0" borderId="0" xfId="55" applyAlignment="1">
      <alignment horizontal="left" vertical="center"/>
    </xf>
    <xf numFmtId="0" fontId="16" fillId="0" borderId="0" xfId="55" quotePrefix="1" applyAlignment="1">
      <alignment horizontal="left" vertical="center"/>
    </xf>
    <xf numFmtId="0" fontId="3" fillId="0" borderId="0" xfId="27" applyNumberFormat="1" applyBorder="1" applyAlignment="1">
      <alignment horizontal="left"/>
    </xf>
  </cellXfs>
  <cellStyles count="57">
    <cellStyle name="AF Column - IBM Cognos" xfId="1" xr:uid="{16555A0C-7370-475F-82E8-C652B6F6C597}"/>
    <cellStyle name="AF Data - IBM Cognos" xfId="2" xr:uid="{A0FD9988-1398-463C-82FB-DAB870F74652}"/>
    <cellStyle name="AF Data 0 - IBM Cognos" xfId="3" xr:uid="{3248A30A-287A-4ECB-B54A-B7473D47F4B8}"/>
    <cellStyle name="AF Data 1 - IBM Cognos" xfId="4" xr:uid="{C0B0A906-D8CA-4C36-B3E1-A86E99A15D59}"/>
    <cellStyle name="AF Data 2 - IBM Cognos" xfId="5" xr:uid="{88FC0499-D4A3-42F4-8BB8-BF481E9D0916}"/>
    <cellStyle name="AF Data 3 - IBM Cognos" xfId="6" xr:uid="{D32C94DA-D23F-4523-A279-703A03BB91C0}"/>
    <cellStyle name="AF Data 4 - IBM Cognos" xfId="7" xr:uid="{42EB18C1-6A5A-403B-89DA-8E08D196A29B}"/>
    <cellStyle name="AF Data 5 - IBM Cognos" xfId="8" xr:uid="{39FB0102-097A-452A-8713-314FB6F8AB5A}"/>
    <cellStyle name="AF Data Leaf - IBM Cognos" xfId="9" xr:uid="{9DB872D3-564F-4098-AA11-3A80F52AA0BD}"/>
    <cellStyle name="AF Header - IBM Cognos" xfId="10" xr:uid="{0BE8E856-D710-430E-8DA2-6848ACD09CAE}"/>
    <cellStyle name="AF Header 0 - IBM Cognos" xfId="11" xr:uid="{35DF6455-ACFA-4B09-A2A3-0B90F48D5E7D}"/>
    <cellStyle name="AF Header 1 - IBM Cognos" xfId="12" xr:uid="{A0F90CC2-2467-4337-86A0-78B000AC851F}"/>
    <cellStyle name="AF Header 2 - IBM Cognos" xfId="13" xr:uid="{4BCD5DDD-1EFF-4745-9971-A0843DCCD924}"/>
    <cellStyle name="AF Header 3 - IBM Cognos" xfId="14" xr:uid="{414376F0-FB5B-427A-A5CA-B7C411CC4C3D}"/>
    <cellStyle name="AF Header 4 - IBM Cognos" xfId="15" xr:uid="{495672C8-3FFC-448B-A57F-297391E5C6E9}"/>
    <cellStyle name="AF Header 5 - IBM Cognos" xfId="16" xr:uid="{3C5352E8-42E5-4978-8094-F3DA19A1EAD5}"/>
    <cellStyle name="AF Header Leaf - IBM Cognos" xfId="17" xr:uid="{38571C21-8016-4531-8F68-4558836DF321}"/>
    <cellStyle name="AF Row - IBM Cognos" xfId="18" xr:uid="{C9EBF4D8-CF0F-46A3-865D-A593A93EBBCE}"/>
    <cellStyle name="AF Row 0 - IBM Cognos" xfId="19" xr:uid="{B0C920C1-571C-45F5-BEC9-79B8444B06DC}"/>
    <cellStyle name="AF Row 1 - IBM Cognos" xfId="20" xr:uid="{B0E9D86B-F84F-4856-8E89-EEF0BD1FBEDC}"/>
    <cellStyle name="AF Row 2 - IBM Cognos" xfId="21" xr:uid="{1820832C-4BA7-49E1-B9BA-E86043931FE3}"/>
    <cellStyle name="AF Row 3 - IBM Cognos" xfId="22" xr:uid="{B1358140-6463-4D1A-9B32-52E155E41249}"/>
    <cellStyle name="AF Row 4 - IBM Cognos" xfId="23" xr:uid="{79F24B6A-F1F8-4090-BAD1-3DB475568410}"/>
    <cellStyle name="AF Row 5 - IBM Cognos" xfId="24" xr:uid="{8143A975-D5CA-43B2-BB5B-10B89F834548}"/>
    <cellStyle name="AF Row Leaf - IBM Cognos" xfId="25" xr:uid="{CA1F406E-F733-411F-98F1-6B4D61C44DC1}"/>
    <cellStyle name="AF Subnm - IBM Cognos" xfId="26" xr:uid="{D45137FB-5A2C-461D-80F7-1C6DC9294481}"/>
    <cellStyle name="AF Title - IBM Cognos" xfId="27" xr:uid="{2B64D03A-46E2-4663-81DD-C68C3FC7926D}"/>
    <cellStyle name="CAFE Subnm Parameter" xfId="28" xr:uid="{4A8502E7-A748-4A55-B18A-B0E783E0F03F}"/>
    <cellStyle name="Calculated Column - IBM Cognos" xfId="29" xr:uid="{096CDB4D-855F-48EF-AED6-FDDD8B41F5CA}"/>
    <cellStyle name="Calculated Column Name - IBM Cognos" xfId="30" xr:uid="{5E7ABADE-9404-4413-B3F5-3236D5F98807}"/>
    <cellStyle name="Calculated Row - IBM Cognos" xfId="31" xr:uid="{68661BCC-9D6A-4843-9C4D-374056AFDAB5}"/>
    <cellStyle name="Calculated Row Name - IBM Cognos" xfId="32" xr:uid="{D8719A0F-DE7D-4125-94B1-B9B4CD5AC809}"/>
    <cellStyle name="Column Name - IBM Cognos" xfId="33" xr:uid="{ECF61120-C672-495D-AC99-E760FC7FB002}"/>
    <cellStyle name="Column Template - IBM Cognos" xfId="34" xr:uid="{DC472EB9-BD80-4E9C-A3B7-6D101BCE4D1D}"/>
    <cellStyle name="Differs From Base - IBM Cognos" xfId="35" xr:uid="{1C260478-5BFD-4801-868C-7C60A6BE9E07}"/>
    <cellStyle name="Edit - IBM Cognos" xfId="36" xr:uid="{318198C3-F154-48AC-BBC7-1D54B34FD8DB}"/>
    <cellStyle name="Formula - IBM Cognos" xfId="37" xr:uid="{721BE091-A982-400F-8541-175BBFA04A47}"/>
    <cellStyle name="Group Name - IBM Cognos" xfId="38" xr:uid="{BD352436-6788-478C-A296-B640708DB604}"/>
    <cellStyle name="Hold Values - IBM Cognos" xfId="39" xr:uid="{30F258D6-0D25-41ED-9578-2F5111C52816}"/>
    <cellStyle name="List Name - IBM Cognos" xfId="40" xr:uid="{FD4BDEFF-B228-406B-B1EA-DE564D9F76C5}"/>
    <cellStyle name="Locked - IBM Cognos" xfId="41" xr:uid="{49AC45BC-00B0-4992-8F2A-D8B5C63F8921}"/>
    <cellStyle name="Measure - IBM Cognos" xfId="42" xr:uid="{B2CA8CE0-62E1-4DFF-90E0-EA0AE6835ED0}"/>
    <cellStyle name="Measure Header - IBM Cognos" xfId="43" xr:uid="{386F82DD-A245-4C54-A98F-7EB16B151E7C}"/>
    <cellStyle name="Measure Name - IBM Cognos" xfId="44" xr:uid="{762C6540-6EB4-4D69-85FA-885AEBED7D9B}"/>
    <cellStyle name="Measure Summary - IBM Cognos" xfId="45" xr:uid="{75CABB91-7743-4101-A150-79175DCBD1E6}"/>
    <cellStyle name="Measure Summary TM1 - IBM Cognos" xfId="46" xr:uid="{818FA6B9-ACD2-4385-8189-1296648BE1A2}"/>
    <cellStyle name="Measure Template - IBM Cognos" xfId="47" xr:uid="{37FACD96-41BF-4E21-8E75-48746CE89FCB}"/>
    <cellStyle name="More - IBM Cognos" xfId="48" xr:uid="{A3A62FF5-7824-4E74-9A41-76952290C7CC}"/>
    <cellStyle name="Normal" xfId="0" builtinId="0"/>
    <cellStyle name="Pending Change - IBM Cognos" xfId="49" xr:uid="{7C16B487-94EB-4F0A-9BE7-E06243755822}"/>
    <cellStyle name="Row Name - IBM Cognos" xfId="50" xr:uid="{DF79DFB9-25B5-4EFF-A0E1-3689F92218ED}"/>
    <cellStyle name="Row Template - IBM Cognos" xfId="51" xr:uid="{55DDC21D-1917-40ED-BF10-6267C227A2D6}"/>
    <cellStyle name="Summary Column Name - IBM Cognos" xfId="52" xr:uid="{633ECEC4-7213-49B1-8AF5-7C417E876B60}"/>
    <cellStyle name="Summary Column Name TM1 - IBM Cognos" xfId="53" xr:uid="{9A846E8A-0EE0-47BA-8BAF-708962C209E2}"/>
    <cellStyle name="Summary Row Name - IBM Cognos" xfId="54" xr:uid="{C53D5FB4-2744-4C4D-AE15-0354CBE011CA}"/>
    <cellStyle name="Summary Row Name TM1 - IBM Cognos" xfId="55" xr:uid="{9277069B-83A6-47BB-A529-F3476FB034FC}"/>
    <cellStyle name="Unsaved Change - IBM Cognos" xfId="56" xr:uid="{B294C3E4-0054-4240-BB84-729E23DEA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Sheet2!$A$9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Sheet2!$B$8:$G$8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Year</c:v>
                </c:pt>
              </c:strCache>
            </c:strRef>
          </c:cat>
          <c:val>
            <c:numRef>
              <c:f>Sheet2!$B$9:$G$9</c:f>
              <c:numCache>
                <c:formatCode>#,###;\(#,###\)</c:formatCode>
                <c:ptCount val="6"/>
                <c:pt idx="0">
                  <c:v>662.03637963292704</c:v>
                </c:pt>
                <c:pt idx="1">
                  <c:v>662.03637963292704</c:v>
                </c:pt>
                <c:pt idx="2">
                  <c:v>286.34892478887537</c:v>
                </c:pt>
                <c:pt idx="3">
                  <c:v>291.73268967314471</c:v>
                </c:pt>
                <c:pt idx="4">
                  <c:v>291.47196251931985</c:v>
                </c:pt>
                <c:pt idx="5">
                  <c:v>5680.9109447713599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3-4D5E-82C2-E6EBCCF6E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577183"/>
        <c:axId val="705822239"/>
      </c:barChart>
      <c:catAx>
        <c:axId val="77257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5822239"/>
        <c:crosses val="autoZero"/>
        <c:auto val="1"/>
        <c:lblAlgn val="ctr"/>
        <c:lblOffset val="100"/>
        <c:noMultiLvlLbl val="0"/>
      </c:catAx>
      <c:valAx>
        <c:axId val="70582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;\(#,###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57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504824</xdr:colOff>
      <xdr:row>12</xdr:row>
      <xdr:rowOff>171449</xdr:rowOff>
    </xdr:from>
    <xdr:to>
      <xdr:col>8</xdr:col>
      <xdr:colOff>196849</xdr:colOff>
      <xdr:row>20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E4EB4-34B7-4505-AFD6-4E54AAC5D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FBC5-972A-402A-A1FC-EAEEC59A4222}">
  <dimension ref="B1:B13"/>
  <sheetViews>
    <sheetView workbookViewId="0"/>
  </sheetViews>
  <sheetFormatPr defaultRowHeight="14.5" x14ac:dyDescent="0.35"/>
  <sheetData>
    <row r="1" spans="2:2" x14ac:dyDescent="0.35">
      <c r="B1" t="s">
        <v>24</v>
      </c>
    </row>
    <row r="2" spans="2:2" x14ac:dyDescent="0.35">
      <c r="B2" s="5" t="s">
        <v>6</v>
      </c>
    </row>
    <row r="3" spans="2:2" x14ac:dyDescent="0.35">
      <c r="B3" s="5" t="s">
        <v>7</v>
      </c>
    </row>
    <row r="4" spans="2:2" x14ac:dyDescent="0.35">
      <c r="B4" s="5" t="s">
        <v>8</v>
      </c>
    </row>
    <row r="5" spans="2:2" x14ac:dyDescent="0.35">
      <c r="B5" s="5" t="s">
        <v>9</v>
      </c>
    </row>
    <row r="6" spans="2:2" x14ac:dyDescent="0.35">
      <c r="B6" s="5" t="s">
        <v>10</v>
      </c>
    </row>
    <row r="7" spans="2:2" x14ac:dyDescent="0.35">
      <c r="B7" s="5" t="s">
        <v>11</v>
      </c>
    </row>
    <row r="8" spans="2:2" x14ac:dyDescent="0.35">
      <c r="B8" s="5" t="s">
        <v>12</v>
      </c>
    </row>
    <row r="9" spans="2:2" x14ac:dyDescent="0.35">
      <c r="B9" s="5" t="s">
        <v>13</v>
      </c>
    </row>
    <row r="10" spans="2:2" x14ac:dyDescent="0.35">
      <c r="B10" s="5" t="s">
        <v>14</v>
      </c>
    </row>
    <row r="11" spans="2:2" x14ac:dyDescent="0.35">
      <c r="B11" s="5" t="s">
        <v>15</v>
      </c>
    </row>
    <row r="12" spans="2:2" x14ac:dyDescent="0.35">
      <c r="B12" s="5" t="s">
        <v>16</v>
      </c>
    </row>
    <row r="13" spans="2:2" x14ac:dyDescent="0.35">
      <c r="B13" s="5" t="s">
        <v>17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A151-DD91-4566-B249-50A2D4AA799C}">
  <dimension ref="A1:G11"/>
  <sheetViews>
    <sheetView showGridLines="0" tabSelected="1" topLeftCell="A2" workbookViewId="0"/>
  </sheetViews>
  <sheetFormatPr defaultRowHeight="14.5" x14ac:dyDescent="0.35"/>
  <cols>
    <col min="1" max="1" width="17.36328125" bestFit="1" customWidth="1"/>
    <col min="2" max="7" width="13.81640625" bestFit="1" customWidth="1"/>
  </cols>
  <sheetData>
    <row r="1" spans="1:7" hidden="1" x14ac:dyDescent="0.35">
      <c r="A1" s="2" t="str">
        <f>_xll.VIEW("Region06:Revenue",$B$2,$B$3,$B$4,"!",$B$5,$B$6,"!")</f>
        <v>Region06:Revenue</v>
      </c>
      <c r="B1" s="3"/>
    </row>
    <row r="2" spans="1:7" x14ac:dyDescent="0.35">
      <c r="A2" s="4" t="s">
        <v>19</v>
      </c>
      <c r="B2" s="3" t="str">
        <f>_xll.SUBNM("Region06:organization","Default","Maryland","Caption_Base")</f>
        <v>Maryland</v>
      </c>
    </row>
    <row r="3" spans="1:7" x14ac:dyDescent="0.35">
      <c r="A3" s="4" t="s">
        <v>20</v>
      </c>
      <c r="B3" s="3" t="str">
        <f>_xll.SUBNM("Region06:Channel","Default","Retail","Caption_Default")</f>
        <v>Retail</v>
      </c>
    </row>
    <row r="4" spans="1:7" x14ac:dyDescent="0.35">
      <c r="A4" s="4" t="s">
        <v>21</v>
      </c>
      <c r="B4" s="9" t="str">
        <f>_xll.SUBNM("Region06:product","Default","3G Smart Phones","Caption_Default")</f>
        <v>3G Smart Phones</v>
      </c>
    </row>
    <row r="5" spans="1:7" x14ac:dyDescent="0.35">
      <c r="A5" s="4" t="s">
        <v>5</v>
      </c>
      <c r="B5" s="3" t="str">
        <f>_xll.SUBNM("Region06:Year","All Members","2015","Caption_Default")</f>
        <v>2015</v>
      </c>
    </row>
    <row r="6" spans="1:7" x14ac:dyDescent="0.35">
      <c r="A6" s="4" t="s">
        <v>22</v>
      </c>
      <c r="B6" s="3" t="str">
        <f>_xll.SUBNM("Region06:Version","Default","Budget","Caption_Default")</f>
        <v>Budget</v>
      </c>
    </row>
    <row r="8" spans="1:7" ht="15" x14ac:dyDescent="0.4">
      <c r="A8" s="7"/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</row>
    <row r="9" spans="1:7" ht="15" x14ac:dyDescent="0.4">
      <c r="A9" s="8" t="s">
        <v>23</v>
      </c>
      <c r="B9" s="1">
        <f>_xll.DBRW($A$1,$B$2,$B$3,$B$4,B$8,$B$5,$B$6,$A9)</f>
        <v>662.03637963292704</v>
      </c>
      <c r="C9" s="1">
        <f>_xll.DBRW($A$1,$B$2,$B$3,$B$4,C$8,$B$5,$B$6,$A9)</f>
        <v>662.03637963292704</v>
      </c>
      <c r="D9" s="1">
        <f>_xll.DBRW($A$1,$B$2,$B$3,$B$4,D$8,$B$5,$B$6,$A9)</f>
        <v>286.34892478887537</v>
      </c>
      <c r="E9" s="1">
        <f>_xll.DBRW($A$1,$B$2,$B$3,$B$4,E$8,$B$5,$B$6,$A9)</f>
        <v>291.73268967314471</v>
      </c>
      <c r="F9" s="1">
        <f>_xll.DBRW($A$1,$B$2,$B$3,$B$4,F$8,$B$5,$B$6,$A9)</f>
        <v>291.47196251931985</v>
      </c>
      <c r="G9" s="1">
        <f>_xll.DBRW($A$1,$B$2,$B$3,$B$4,G$8,$B$5,$B$6,$A9)</f>
        <v>5680.9109447713599</v>
      </c>
    </row>
    <row r="10" spans="1:7" ht="15" x14ac:dyDescent="0.4">
      <c r="A10" s="8"/>
      <c r="B10" s="1"/>
      <c r="C10" s="1"/>
      <c r="D10" s="1"/>
      <c r="E10" s="1"/>
      <c r="F10" s="1"/>
      <c r="G10" s="1"/>
    </row>
    <row r="11" spans="1:7" ht="15" x14ac:dyDescent="0.4">
      <c r="A11" s="8" t="s">
        <v>18</v>
      </c>
      <c r="B11" s="1">
        <f>_xll.DBRW($A$1,$B$2,$B$3,$B$4,B$8,$B$5,$B$6,$A11)</f>
        <v>87927.774386099496</v>
      </c>
      <c r="C11" s="1">
        <f>_xll.DBRW($A$1,$B$2,$B$3,$B$4,C$8,$B$5,$B$6,$A11)</f>
        <v>87048.496642238504</v>
      </c>
      <c r="D11" s="1">
        <f>_xll.DBRW($A$1,$B$2,$B$3,$B$4,D$8,$B$5,$B$6,$A11)</f>
        <v>30999.328821762938</v>
      </c>
      <c r="E11" s="1">
        <f>_xll.DBRW($A$1,$B$2,$B$3,$B$4,E$8,$B$5,$B$6,$A11)</f>
        <v>31246.245623077775</v>
      </c>
      <c r="F11" s="1">
        <f>_xll.DBRW($A$1,$B$2,$B$3,$B$4,F$8,$B$5,$B$6,$A11)</f>
        <v>30883.823289088221</v>
      </c>
      <c r="G11" s="1">
        <f>_xll.DBRW($A$1,$B$2,$B$3,$B$4,G$8,$B$5,$B$6,$A11)</f>
        <v>705770.74262531684</v>
      </c>
    </row>
  </sheetData>
  <pageMargins left="0.7" right="0.7" top="0.75" bottom="0.75" header="0.3" footer="0.3"/>
  <customProperties>
    <customPr name="COR_LastLabelRowStart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Mougnaud</dc:creator>
  <cp:lastModifiedBy>FLORENCE Mougnaud</cp:lastModifiedBy>
  <dcterms:created xsi:type="dcterms:W3CDTF">2019-08-29T13:00:51Z</dcterms:created>
  <dcterms:modified xsi:type="dcterms:W3CDTF">2019-08-29T13:13:02Z</dcterms:modified>
</cp:coreProperties>
</file>