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995432D6-92DE-4F5A-A914-E51799E20ADB}" xr6:coauthVersionLast="47" xr6:coauthVersionMax="47" xr10:uidLastSave="{00000000-0000-0000-0000-000000000000}"/>
  <bookViews>
    <workbookView showHorizontalScroll="0" showVerticalScroll="0" showSheetTabs="0" xWindow="-120" yWindow="-120" windowWidth="24675" windowHeight="13200" firstSheet="1" activeTab="1" xr2:uid="{A69EE23D-BF28-4553-B312-36D9D74D0C64}"/>
  </bookViews>
  <sheets>
    <sheet name="Cognos_Office_Connection_Cache" sheetId="2" state="veryHidden" r:id="rId1"/>
    <sheet name="Sheet3" sheetId="4" r:id="rId2"/>
    <sheet name="Sheet2" sheetId="3" r:id="rId3"/>
    <sheet name="Sheet1" sheetId="1" r:id="rId4"/>
  </sheets>
  <definedNames>
    <definedName name="ID" localSheetId="0" hidden="1">"1688a0ee-4359-4a63-939e-3e0ad8311fa7"</definedName>
    <definedName name="ID" localSheetId="3" hidden="1">"bc10f6de-697c-47c5-9c35-6770962a17bf"</definedName>
    <definedName name="ID" localSheetId="2" hidden="1">"75f2b54c-112e-49ac-bc4e-84e9d4e7bb31"</definedName>
    <definedName name="ID" localSheetId="1" hidden="1">"11c93a06-d9de-445a-8b04-0f53c937b5f3"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1" i="4" l="1"/>
  <c r="E9" i="4"/>
  <c r="E10" i="4"/>
  <c r="E11" i="4"/>
  <c r="E12" i="4"/>
  <c r="E13" i="4"/>
  <c r="E14" i="4"/>
  <c r="E15" i="4"/>
  <c r="E16" i="4"/>
  <c r="E17" i="4"/>
  <c r="E18" i="4"/>
  <c r="E19" i="4"/>
  <c r="E8" i="4"/>
  <c r="C2" i="4"/>
  <c r="C5" i="4"/>
  <c r="C3" i="4"/>
  <c r="C4" i="4"/>
  <c r="B3" i="3"/>
  <c r="B4" i="3"/>
  <c r="B5" i="3"/>
  <c r="B2" i="3"/>
  <c r="B1" i="4" l="1"/>
  <c r="A1" i="3"/>
  <c r="D16" i="4"/>
  <c r="C17" i="4"/>
  <c r="C14" i="4"/>
  <c r="D14" i="4"/>
  <c r="D9" i="4"/>
  <c r="C16" i="4"/>
  <c r="D11" i="4"/>
  <c r="C12" i="4"/>
  <c r="C18" i="4"/>
  <c r="D13" i="4"/>
  <c r="C8" i="4"/>
  <c r="C15" i="4"/>
  <c r="C10" i="4"/>
  <c r="C11" i="4"/>
  <c r="D17" i="4"/>
  <c r="D12" i="4"/>
  <c r="D18" i="4"/>
  <c r="D19" i="4"/>
  <c r="D8" i="4"/>
  <c r="C9" i="4"/>
  <c r="D15" i="4"/>
  <c r="D10" i="4"/>
  <c r="C13" i="4"/>
  <c r="C19" i="4"/>
  <c r="B13" i="3"/>
  <c r="C11" i="3"/>
  <c r="C13" i="3"/>
  <c r="B8" i="3"/>
  <c r="B14" i="3"/>
  <c r="C8" i="3"/>
  <c r="C14" i="3"/>
  <c r="C9" i="3"/>
  <c r="B9" i="3"/>
  <c r="B15" i="3"/>
  <c r="B16" i="3"/>
  <c r="C15" i="3"/>
  <c r="B10" i="3"/>
  <c r="C10" i="3"/>
  <c r="C16" i="3"/>
  <c r="B17" i="3"/>
  <c r="C17" i="3"/>
  <c r="B18" i="3"/>
  <c r="B11" i="3"/>
  <c r="B12" i="3"/>
  <c r="C12" i="3"/>
  <c r="C18" i="3"/>
</calcChain>
</file>

<file path=xl/sharedStrings.xml><?xml version="1.0" encoding="utf-8"?>
<sst xmlns="http://schemas.openxmlformats.org/spreadsheetml/2006/main" count="36" uniqueCount="19">
  <si>
    <t>organization</t>
  </si>
  <si>
    <t>Currency Calc</t>
  </si>
  <si>
    <t>Month</t>
  </si>
  <si>
    <t>Version</t>
  </si>
  <si>
    <t>2021</t>
  </si>
  <si>
    <t>2022</t>
  </si>
  <si>
    <t>Net Profit</t>
  </si>
  <si>
    <t>Gross Margin</t>
  </si>
  <si>
    <t>4999 Gross Revenue</t>
  </si>
  <si>
    <t>5999 Cost of Sales</t>
  </si>
  <si>
    <t>Total Operating Expense</t>
  </si>
  <si>
    <t>6099 PAYROLL</t>
  </si>
  <si>
    <t>6199 OFFICE EXPENSE</t>
  </si>
  <si>
    <t>6299 TRAVEL</t>
  </si>
  <si>
    <t>6399 OCCUPANCY</t>
  </si>
  <si>
    <t>6499 MARKETING</t>
  </si>
  <si>
    <t>6599 DEPRECIATION</t>
  </si>
  <si>
    <t>Net Profit After Allocations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</si>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</sst>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7"/>
      <color theme="1"/>
      <name val="Calibri"/>
      <family val="2"/>
      <scheme val="minor"/>
    </font>
    <font>
      <b/>
      <sz val="10.5"/>
      <color theme="0"/>
      <name val="Calibri"/>
      <family val="2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</borders>
  <cellStyleXfs count="57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5" fillId="0" borderId="2"/>
    <xf numFmtId="3" fontId="6" fillId="0" borderId="2"/>
    <xf numFmtId="0" fontId="2" fillId="0" borderId="4">
      <alignment horizontal="left" vertical="top"/>
    </xf>
    <xf numFmtId="0" fontId="7" fillId="0" borderId="2"/>
    <xf numFmtId="0" fontId="2" fillId="0" borderId="4">
      <alignment horizontal="left" vertical="center"/>
    </xf>
    <xf numFmtId="0" fontId="3" fillId="2" borderId="6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8" fillId="0" borderId="5">
      <alignment horizontal="left" vertical="center" indent="1"/>
    </xf>
    <xf numFmtId="0" fontId="9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0" fillId="0" borderId="2"/>
  </cellStyleXfs>
  <cellXfs count="28">
    <xf numFmtId="0" fontId="0" fillId="0" borderId="0" xfId="0"/>
    <xf numFmtId="0" fontId="11" fillId="0" borderId="0" xfId="0" applyFont="1" applyAlignment="1">
      <alignment horizontal="left"/>
    </xf>
    <xf numFmtId="0" fontId="3" fillId="0" borderId="2" xfId="28" applyAlignment="1"/>
    <xf numFmtId="0" fontId="3" fillId="0" borderId="2" xfId="28" quotePrefix="1" applyAlignment="1"/>
    <xf numFmtId="3" fontId="3" fillId="0" borderId="2" xfId="46"/>
    <xf numFmtId="0" fontId="2" fillId="0" borderId="4" xfId="53" quotePrefix="1">
      <alignment horizontal="center" vertical="center"/>
    </xf>
    <xf numFmtId="0" fontId="2" fillId="0" borderId="4" xfId="53">
      <alignment horizontal="center" vertical="center"/>
    </xf>
    <xf numFmtId="0" fontId="2" fillId="0" borderId="3" xfId="55" applyAlignment="1">
      <alignment horizontal="left" vertical="center"/>
    </xf>
    <xf numFmtId="0" fontId="2" fillId="0" borderId="3" xfId="55" quotePrefix="1" applyAlignment="1">
      <alignment horizontal="left" vertical="center" indent="1"/>
    </xf>
    <xf numFmtId="0" fontId="2" fillId="0" borderId="3" xfId="55" quotePrefix="1" applyAlignment="1">
      <alignment horizontal="left" vertical="center" indent="2"/>
    </xf>
    <xf numFmtId="0" fontId="2" fillId="0" borderId="3" xfId="55" quotePrefix="1" applyAlignment="1">
      <alignment horizontal="left" vertical="center" indent="3"/>
    </xf>
    <xf numFmtId="0" fontId="3" fillId="0" borderId="2" xfId="27" applyAlignment="1">
      <alignment horizontal="left"/>
    </xf>
    <xf numFmtId="3" fontId="12" fillId="4" borderId="2" xfId="46" applyFont="1" applyFill="1"/>
    <xf numFmtId="9" fontId="12" fillId="4" borderId="2" xfId="1" applyFont="1" applyFill="1" applyBorder="1"/>
    <xf numFmtId="0" fontId="13" fillId="0" borderId="0" xfId="0" applyFont="1"/>
    <xf numFmtId="3" fontId="3" fillId="0" borderId="7" xfId="46" applyBorder="1"/>
    <xf numFmtId="0" fontId="12" fillId="4" borderId="8" xfId="55" quotePrefix="1" applyFont="1" applyFill="1" applyBorder="1" applyAlignment="1">
      <alignment horizontal="left" vertical="center"/>
    </xf>
    <xf numFmtId="0" fontId="2" fillId="0" borderId="0" xfId="55" applyBorder="1" applyAlignment="1">
      <alignment horizontal="left" vertical="center"/>
    </xf>
    <xf numFmtId="0" fontId="2" fillId="0" borderId="0" xfId="55" quotePrefix="1" applyBorder="1" applyAlignment="1">
      <alignment horizontal="left" vertical="center" indent="3"/>
    </xf>
    <xf numFmtId="0" fontId="2" fillId="0" borderId="0" xfId="55" quotePrefix="1" applyBorder="1" applyAlignment="1">
      <alignment horizontal="left" vertical="center" indent="1"/>
    </xf>
    <xf numFmtId="0" fontId="2" fillId="0" borderId="9" xfId="53" quotePrefix="1" applyBorder="1">
      <alignment horizontal="center" vertical="center"/>
    </xf>
    <xf numFmtId="0" fontId="2" fillId="0" borderId="9" xfId="53" applyBorder="1">
      <alignment horizontal="center" vertical="center"/>
    </xf>
    <xf numFmtId="9" fontId="3" fillId="0" borderId="10" xfId="1" applyFont="1" applyBorder="1"/>
    <xf numFmtId="9" fontId="3" fillId="0" borderId="11" xfId="1" applyFont="1" applyBorder="1"/>
    <xf numFmtId="0" fontId="2" fillId="5" borderId="0" xfId="55" quotePrefix="1" applyFill="1" applyBorder="1" applyAlignment="1">
      <alignment horizontal="left" vertical="center" indent="2"/>
    </xf>
    <xf numFmtId="3" fontId="3" fillId="5" borderId="7" xfId="46" applyFill="1" applyBorder="1"/>
    <xf numFmtId="3" fontId="3" fillId="5" borderId="2" xfId="46" applyFill="1"/>
    <xf numFmtId="9" fontId="3" fillId="5" borderId="11" xfId="1" applyFont="1" applyFill="1" applyBorder="1"/>
  </cellXfs>
  <cellStyles count="57">
    <cellStyle name="AF Column - IBM Cognos" xfId="2" xr:uid="{B017F6F7-8391-4937-8005-9AB5AEFF13CE}"/>
    <cellStyle name="AF Data - IBM Cognos" xfId="3" xr:uid="{30F0672A-348B-4CB5-90B0-2EDFF9BC5150}"/>
    <cellStyle name="AF Data 0 - IBM Cognos" xfId="4" xr:uid="{2A85E99A-3B28-4319-A8FA-7392EC22D165}"/>
    <cellStyle name="AF Data 1 - IBM Cognos" xfId="5" xr:uid="{DD3C3991-58CC-47A5-BB0B-502B96B7849A}"/>
    <cellStyle name="AF Data 2 - IBM Cognos" xfId="6" xr:uid="{E1C935FE-1527-4BBB-B27C-F42083F1894E}"/>
    <cellStyle name="AF Data 3 - IBM Cognos" xfId="7" xr:uid="{CC064380-F5D7-42E0-99CE-FFD16D3748E6}"/>
    <cellStyle name="AF Data 4 - IBM Cognos" xfId="8" xr:uid="{3B0843A4-59D4-4DB6-B5D6-60EAD9C247E2}"/>
    <cellStyle name="AF Data 5 - IBM Cognos" xfId="9" xr:uid="{7298E4CD-8DED-4D36-A39C-D2D0328B0B5E}"/>
    <cellStyle name="AF Data Leaf - IBM Cognos" xfId="10" xr:uid="{AEF7B7FF-D09D-4FDB-83B2-E85314A3B62E}"/>
    <cellStyle name="AF Header - IBM Cognos" xfId="11" xr:uid="{59D099D8-A31E-4CE3-8A28-A0ED8E415A75}"/>
    <cellStyle name="AF Header 0 - IBM Cognos" xfId="12" xr:uid="{D87442C4-7235-40D4-8C12-4E1B2200F90A}"/>
    <cellStyle name="AF Header 1 - IBM Cognos" xfId="13" xr:uid="{720A682E-0088-45BD-AA61-D1924246D74D}"/>
    <cellStyle name="AF Header 2 - IBM Cognos" xfId="14" xr:uid="{0DB0FBB5-AD04-4596-80C5-2BC97AE67592}"/>
    <cellStyle name="AF Header 3 - IBM Cognos" xfId="15" xr:uid="{A6F55BF3-4D89-4C9B-88EE-743892967096}"/>
    <cellStyle name="AF Header 4 - IBM Cognos" xfId="16" xr:uid="{BC17751C-5437-438B-A425-54AE5FFCCB4F}"/>
    <cellStyle name="AF Header 5 - IBM Cognos" xfId="17" xr:uid="{6D1C73FE-BCE1-4172-9D9C-C4495CAED10C}"/>
    <cellStyle name="AF Header Leaf - IBM Cognos" xfId="18" xr:uid="{5FCA1773-2CE5-4DDC-B12E-EC185F75CE3C}"/>
    <cellStyle name="AF Row - IBM Cognos" xfId="19" xr:uid="{B673C01F-30C2-45CC-9E16-EDF8A7E99EDA}"/>
    <cellStyle name="AF Row 0 - IBM Cognos" xfId="20" xr:uid="{83C72826-5565-49B5-BDEC-A530DBB290DE}"/>
    <cellStyle name="AF Row 1 - IBM Cognos" xfId="21" xr:uid="{9585E44E-87D4-43F0-B1A9-31C5731A6837}"/>
    <cellStyle name="AF Row 2 - IBM Cognos" xfId="22" xr:uid="{E339D23E-6321-499D-BBCC-D29279128399}"/>
    <cellStyle name="AF Row 3 - IBM Cognos" xfId="23" xr:uid="{BDFB74C6-52DC-4AE7-AFAB-37008E8036BF}"/>
    <cellStyle name="AF Row 4 - IBM Cognos" xfId="24" xr:uid="{6CED11DA-AAB9-49ED-B4B4-DDCE31D01829}"/>
    <cellStyle name="AF Row 5 - IBM Cognos" xfId="25" xr:uid="{32C2D603-DE92-438D-9068-AFCE7A1DC2E7}"/>
    <cellStyle name="AF Row Leaf - IBM Cognos" xfId="26" xr:uid="{DF8329E9-D117-4A8F-A3B2-FEBF6109B897}"/>
    <cellStyle name="AF Subnm - IBM Cognos" xfId="27" xr:uid="{38584D8C-C297-4B96-8132-3B9D9441F006}"/>
    <cellStyle name="AF Title - IBM Cognos" xfId="28" xr:uid="{DD93E9DE-AA82-49C2-A58E-E56A180C28F4}"/>
    <cellStyle name="Calculated Column - IBM Cognos" xfId="29" xr:uid="{68B0D9E7-5FD7-409A-8D4C-3BE73976CA8F}"/>
    <cellStyle name="Calculated Column Name - IBM Cognos" xfId="30" xr:uid="{FAECDF2D-ABB2-47B4-95CF-3B3C75D8DAE9}"/>
    <cellStyle name="Calculated Row - IBM Cognos" xfId="31" xr:uid="{163834B7-BD96-40DB-B744-0AAB38B95A64}"/>
    <cellStyle name="Calculated Row Name - IBM Cognos" xfId="32" xr:uid="{1CD2E85B-71C4-4F82-9006-3A67DBC9214D}"/>
    <cellStyle name="Column Name - IBM Cognos" xfId="33" xr:uid="{19D8C8A1-B4AF-44AA-9B7E-23ADE518541F}"/>
    <cellStyle name="Column Template - IBM Cognos" xfId="34" xr:uid="{97AAACE2-2896-4744-BB78-80206C2855FC}"/>
    <cellStyle name="Differs From Base - IBM Cognos" xfId="35" xr:uid="{5C69E450-63F5-4530-A107-66A915D17D06}"/>
    <cellStyle name="Edit - IBM Cognos" xfId="36" xr:uid="{696696F0-8F0D-4FC5-9A95-703F844BBE7B}"/>
    <cellStyle name="Formula - IBM Cognos" xfId="37" xr:uid="{468B89A9-0689-4A93-BB3B-02ED12BE098A}"/>
    <cellStyle name="Group Name - IBM Cognos" xfId="38" xr:uid="{1D54B290-2A78-4FF5-B60A-EA9C0A582D09}"/>
    <cellStyle name="Hold Values - IBM Cognos" xfId="39" xr:uid="{E6A890E2-74DD-4285-BED2-F3AC5A861548}"/>
    <cellStyle name="List Name - IBM Cognos" xfId="40" xr:uid="{A8D10AA0-8ED3-4D39-94C9-28412EDA7DE6}"/>
    <cellStyle name="Locked - IBM Cognos" xfId="41" xr:uid="{A8E5F031-3E2C-40C9-BFA4-66F08EA0BB40}"/>
    <cellStyle name="Measure - IBM Cognos" xfId="42" xr:uid="{ADD015B4-9BCC-4C6E-ACD0-26EB5B8E66C9}"/>
    <cellStyle name="Measure Header - IBM Cognos" xfId="43" xr:uid="{9EBDCAF5-9B62-4211-9941-DA734390470E}"/>
    <cellStyle name="Measure Name - IBM Cognos" xfId="44" xr:uid="{EE6B0690-830C-4DB7-8D43-6D9D50F182DF}"/>
    <cellStyle name="Measure Summary - IBM Cognos" xfId="45" xr:uid="{BD87F8B3-2CAF-4C82-A0DC-39CC75E5CD22}"/>
    <cellStyle name="Measure Summary TM1 - IBM Cognos" xfId="46" xr:uid="{2F559D8F-3A41-4249-B218-9CD453985FF1}"/>
    <cellStyle name="Measure Template - IBM Cognos" xfId="47" xr:uid="{A52D0623-A536-4578-BDEC-BB99666AB240}"/>
    <cellStyle name="More - IBM Cognos" xfId="48" xr:uid="{90D4A638-29E8-4FA7-8E43-4922D2314597}"/>
    <cellStyle name="Normal" xfId="0" builtinId="0" customBuiltin="1"/>
    <cellStyle name="Pending Change - IBM Cognos" xfId="49" xr:uid="{77B967AE-843C-43DA-8359-FF3CF8799FDB}"/>
    <cellStyle name="Percent" xfId="1" builtinId="5"/>
    <cellStyle name="Row Name - IBM Cognos" xfId="50" xr:uid="{F6D97926-4B8E-4B78-99AF-DC6212A2C0FA}"/>
    <cellStyle name="Row Template - IBM Cognos" xfId="51" xr:uid="{F6A22AFA-C60E-488B-8E82-1A21E36922E9}"/>
    <cellStyle name="Summary Column Name - IBM Cognos" xfId="52" xr:uid="{1DE81E9D-9116-4D6D-84AD-EDBC80DE108A}"/>
    <cellStyle name="Summary Column Name TM1 - IBM Cognos" xfId="53" xr:uid="{1815695A-84A9-4F1E-B8AE-4F5D81EA7975}"/>
    <cellStyle name="Summary Row Name - IBM Cognos" xfId="54" xr:uid="{C3275B55-D91D-43C4-A42F-DCE0D7C98338}"/>
    <cellStyle name="Summary Row Name TM1 - IBM Cognos" xfId="55" xr:uid="{B76B57A0-5274-4E61-AB57-27A472D47816}"/>
    <cellStyle name="Unsaved Change - IBM Cognos" xfId="56" xr:uid="{D522E046-1D17-46AD-8714-BB13017AD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22E3-09E3-4C43-9284-582A7AA521C8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DB32-E1EF-48AB-942E-223ECED09C30}">
  <dimension ref="B1:E21"/>
  <sheetViews>
    <sheetView showGridLines="0" tabSelected="1" topLeftCell="A2" workbookViewId="0"/>
  </sheetViews>
  <sheetFormatPr defaultRowHeight="15" x14ac:dyDescent="0.25"/>
  <cols>
    <col min="2" max="2" width="25.5703125" bestFit="1" customWidth="1"/>
    <col min="3" max="3" width="14.140625" customWidth="1"/>
    <col min="4" max="4" width="13.42578125" customWidth="1"/>
  </cols>
  <sheetData>
    <row r="1" spans="2:5" hidden="1" x14ac:dyDescent="0.25">
      <c r="B1" s="2" t="str">
        <f>_xll.VIEW("Region06:Income Statement",$C$3,$C$2,"!",$C$4,"!",$C$5)</f>
        <v>Region06:Income Statement</v>
      </c>
      <c r="C1" s="1"/>
    </row>
    <row r="2" spans="2:5" x14ac:dyDescent="0.25">
      <c r="B2" s="3" t="s">
        <v>0</v>
      </c>
      <c r="C2" s="11" t="str">
        <f>_xll.SUBNM("Region06:organization","Workflow","Total Company","Caption_Default")</f>
        <v>Total Company</v>
      </c>
    </row>
    <row r="3" spans="2:5" x14ac:dyDescent="0.25">
      <c r="B3" s="3" t="s">
        <v>1</v>
      </c>
      <c r="C3" s="11" t="str">
        <f>_xll.SUBNM("Region06:Currency Calc","Default","Local")</f>
        <v>Local</v>
      </c>
    </row>
    <row r="4" spans="2:5" x14ac:dyDescent="0.25">
      <c r="B4" s="3" t="s">
        <v>2</v>
      </c>
      <c r="C4" s="11" t="str">
        <f>_xll.SUBNM("Region06:Month","MY","Year")</f>
        <v>Year</v>
      </c>
    </row>
    <row r="5" spans="2:5" x14ac:dyDescent="0.25">
      <c r="B5" s="3" t="s">
        <v>3</v>
      </c>
      <c r="C5" s="11" t="str">
        <f>_xll.SUBNM("Region06:Version","Current","Actual","Caption_Default")</f>
        <v>Actual</v>
      </c>
    </row>
    <row r="7" spans="2:5" ht="15.75" thickBot="1" x14ac:dyDescent="0.3">
      <c r="B7" s="17"/>
      <c r="C7" s="20" t="s">
        <v>4</v>
      </c>
      <c r="D7" s="20" t="s">
        <v>5</v>
      </c>
      <c r="E7" s="21" t="s">
        <v>18</v>
      </c>
    </row>
    <row r="8" spans="2:5" x14ac:dyDescent="0.25">
      <c r="B8" s="18" t="s">
        <v>8</v>
      </c>
      <c r="C8" s="15">
        <f>_xll.DBRW($B$1,$C$3,$C$2,C$7,$C$4,$B8,$C$5)</f>
        <v>91154343.327724606</v>
      </c>
      <c r="D8" s="4">
        <f>_xll.DBRW($B$1,$C$3,$C$2,D$7,$C$4,$B8,$C$5)</f>
        <v>80648313.087828159</v>
      </c>
      <c r="E8" s="22">
        <f>(D8-C8)/C8</f>
        <v>-0.11525539931898161</v>
      </c>
    </row>
    <row r="9" spans="2:5" x14ac:dyDescent="0.25">
      <c r="B9" s="18" t="s">
        <v>9</v>
      </c>
      <c r="C9" s="15">
        <f>_xll.DBRW($B$1,$C$3,$C$2,C$7,$C$4,$B9,$C$5)</f>
        <v>53719211.471577927</v>
      </c>
      <c r="D9" s="4">
        <f>_xll.DBRW($B$1,$C$3,$C$2,D$7,$C$4,$B9,$C$5)</f>
        <v>48559055.881574467</v>
      </c>
      <c r="E9" s="23">
        <f t="shared" ref="E9:E19" si="0">(D9-C9)/C9</f>
        <v>-9.6057917617305782E-2</v>
      </c>
    </row>
    <row r="10" spans="2:5" x14ac:dyDescent="0.25">
      <c r="B10" s="24" t="s">
        <v>7</v>
      </c>
      <c r="C10" s="25">
        <f>_xll.DBRW($B$1,$C$3,$C$2,C$7,$C$4,$B10,$C$5)</f>
        <v>37435131.856146678</v>
      </c>
      <c r="D10" s="26">
        <f>_xll.DBRW($B$1,$C$3,$C$2,D$7,$C$4,$B10,$C$5)</f>
        <v>32089257.206253693</v>
      </c>
      <c r="E10" s="27">
        <f t="shared" si="0"/>
        <v>-0.14280368159075196</v>
      </c>
    </row>
    <row r="11" spans="2:5" x14ac:dyDescent="0.25">
      <c r="B11" s="18" t="s">
        <v>11</v>
      </c>
      <c r="C11" s="15">
        <f>_xll.DBRW($B$1,$C$3,$C$2,C$7,$C$4,$B11,$C$5)</f>
        <v>2663600.2813968216</v>
      </c>
      <c r="D11" s="4">
        <f>_xll.DBRW($B$1,$C$3,$C$2,D$7,$C$4,$B11,$C$5)</f>
        <v>7393811.4384614434</v>
      </c>
      <c r="E11" s="23">
        <f t="shared" si="0"/>
        <v>1.7758712484382404</v>
      </c>
    </row>
    <row r="12" spans="2:5" x14ac:dyDescent="0.25">
      <c r="B12" s="18" t="s">
        <v>12</v>
      </c>
      <c r="C12" s="15">
        <f>_xll.DBRW($B$1,$C$3,$C$2,C$7,$C$4,$B12,$C$5)</f>
        <v>660030.12528623524</v>
      </c>
      <c r="D12" s="4">
        <f>_xll.DBRW($B$1,$C$3,$C$2,D$7,$C$4,$B12,$C$5)</f>
        <v>659040</v>
      </c>
      <c r="E12" s="23">
        <f t="shared" si="0"/>
        <v>-1.5001213555303307E-3</v>
      </c>
    </row>
    <row r="13" spans="2:5" x14ac:dyDescent="0.25">
      <c r="B13" s="18" t="s">
        <v>13</v>
      </c>
      <c r="C13" s="15">
        <f>_xll.DBRW($B$1,$C$3,$C$2,C$7,$C$4,$B13,$C$5)</f>
        <v>432392.09965876525</v>
      </c>
      <c r="D13" s="4">
        <f>_xll.DBRW($B$1,$C$3,$C$2,D$7,$C$4,$B13,$C$5)</f>
        <v>429480</v>
      </c>
      <c r="E13" s="23">
        <f t="shared" si="0"/>
        <v>-6.7348586180538813E-3</v>
      </c>
    </row>
    <row r="14" spans="2:5" x14ac:dyDescent="0.25">
      <c r="B14" s="18" t="s">
        <v>14</v>
      </c>
      <c r="C14" s="15">
        <f>_xll.DBRW($B$1,$C$3,$C$2,C$7,$C$4,$B14,$C$5)</f>
        <v>3452082.5291492147</v>
      </c>
      <c r="D14" s="4">
        <f>_xll.DBRW($B$1,$C$3,$C$2,D$7,$C$4,$B14,$C$5)</f>
        <v>2357997.0000000037</v>
      </c>
      <c r="E14" s="23">
        <f t="shared" si="0"/>
        <v>-0.31693492838331838</v>
      </c>
    </row>
    <row r="15" spans="2:5" x14ac:dyDescent="0.25">
      <c r="B15" s="18" t="s">
        <v>15</v>
      </c>
      <c r="C15" s="15">
        <f>_xll.DBRW($B$1,$C$3,$C$2,C$7,$C$4,$B15,$C$5)</f>
        <v>1004178.2214687511</v>
      </c>
      <c r="D15" s="4">
        <f>_xll.DBRW($B$1,$C$3,$C$2,D$7,$C$4,$B15,$C$5)</f>
        <v>1002240</v>
      </c>
      <c r="E15" s="23">
        <f t="shared" si="0"/>
        <v>-1.9301568459791588E-3</v>
      </c>
    </row>
    <row r="16" spans="2:5" x14ac:dyDescent="0.25">
      <c r="B16" s="18" t="s">
        <v>16</v>
      </c>
      <c r="C16" s="15">
        <f>_xll.DBRW($B$1,$C$3,$C$2,C$7,$C$4,$B16,$C$5)</f>
        <v>2127264.3970804168</v>
      </c>
      <c r="D16" s="4">
        <f>_xll.DBRW($B$1,$C$3,$C$2,D$7,$C$4,$B16,$C$5)</f>
        <v>2122425</v>
      </c>
      <c r="E16" s="23">
        <f t="shared" si="0"/>
        <v>-2.2749391599176227E-3</v>
      </c>
    </row>
    <row r="17" spans="2:5" x14ac:dyDescent="0.25">
      <c r="B17" s="24" t="s">
        <v>10</v>
      </c>
      <c r="C17" s="25">
        <f>_xll.DBRW($B$1,$C$3,$C$2,C$7,$C$4,$B17,$C$5)</f>
        <v>10339547.654040206</v>
      </c>
      <c r="D17" s="26">
        <f>_xll.DBRW($B$1,$C$3,$C$2,D$7,$C$4,$B17,$C$5)</f>
        <v>13964993.438461449</v>
      </c>
      <c r="E17" s="27">
        <f t="shared" si="0"/>
        <v>0.35063872286565556</v>
      </c>
    </row>
    <row r="18" spans="2:5" x14ac:dyDescent="0.25">
      <c r="B18" s="19" t="s">
        <v>6</v>
      </c>
      <c r="C18" s="15">
        <f>_xll.DBRW($B$1,$C$3,$C$2,C$7,$C$4,$B18,$C$5)</f>
        <v>27095584.202106483</v>
      </c>
      <c r="D18" s="4">
        <f>_xll.DBRW($B$1,$C$3,$C$2,D$7,$C$4,$B18,$C$5)</f>
        <v>18124263.767792244</v>
      </c>
      <c r="E18" s="23">
        <f t="shared" si="0"/>
        <v>-0.33109898525888898</v>
      </c>
    </row>
    <row r="19" spans="2:5" x14ac:dyDescent="0.25">
      <c r="B19" s="16" t="s">
        <v>17</v>
      </c>
      <c r="C19" s="12">
        <f>_xll.DBRW($B$1,$C$3,$C$2,C$7,$C$4,$B19,$C$5)</f>
        <v>27095584.202106483</v>
      </c>
      <c r="D19" s="12">
        <f>_xll.DBRW($B$1,$C$3,$C$2,D$7,$C$4,$B19,$C$5)</f>
        <v>18124263.767792244</v>
      </c>
      <c r="E19" s="13">
        <f t="shared" si="0"/>
        <v>-0.33109898525888898</v>
      </c>
    </row>
    <row r="21" spans="2:5" ht="26.25" x14ac:dyDescent="0.4">
      <c r="B21" s="14" t="str">
        <f>"Net Profit After Allocation for " &amp; C2 &amp; IF(E19&lt;0," decreased ", " increased ") &amp; ROUND(E19,2)*100 &amp; "%"</f>
        <v>Net Profit After Allocation for Total Company decreased -33%</v>
      </c>
    </row>
  </sheetData>
  <pageMargins left="0.7" right="0.7" top="0.75" bottom="0.75" header="0.3" footer="0.3"/>
  <customProperties>
    <customPr name="COR_LastLabelRowStart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3822-7A50-433B-AB0D-72EDAF31E053}">
  <dimension ref="A1:D18"/>
  <sheetViews>
    <sheetView workbookViewId="0">
      <selection activeCell="A8" sqref="A8"/>
    </sheetView>
  </sheetViews>
  <sheetFormatPr defaultRowHeight="15" x14ac:dyDescent="0.25"/>
  <cols>
    <col min="1" max="1" width="25.5703125" bestFit="1" customWidth="1"/>
    <col min="2" max="3" width="12.140625" bestFit="1" customWidth="1"/>
  </cols>
  <sheetData>
    <row r="1" spans="1:4" x14ac:dyDescent="0.25">
      <c r="A1" s="2" t="str">
        <f>_xll.VIEW("Region06:Income Statement",$B$3,$B$2,"!",$B$4,"!",$B$5)</f>
        <v>Region06:Income Statement</v>
      </c>
      <c r="B1" s="1"/>
    </row>
    <row r="2" spans="1:4" x14ac:dyDescent="0.25">
      <c r="A2" s="3" t="s">
        <v>0</v>
      </c>
      <c r="B2" s="11" t="str">
        <f>_xll.SUBNM("Region06:organization","Workflow","Total Company","Caption_Default")</f>
        <v>Total Company</v>
      </c>
    </row>
    <row r="3" spans="1:4" x14ac:dyDescent="0.25">
      <c r="A3" s="3" t="s">
        <v>1</v>
      </c>
      <c r="B3" s="11" t="str">
        <f>_xll.SUBNM("Region06:Currency Calc","Default","Local")</f>
        <v>Local</v>
      </c>
    </row>
    <row r="4" spans="1:4" x14ac:dyDescent="0.25">
      <c r="A4" s="3" t="s">
        <v>2</v>
      </c>
      <c r="B4" s="11" t="str">
        <f>_xll.SUBNM("Region06:Month","MY","Year")</f>
        <v>Year</v>
      </c>
    </row>
    <row r="5" spans="1:4" x14ac:dyDescent="0.25">
      <c r="A5" s="3" t="s">
        <v>3</v>
      </c>
      <c r="B5" s="11" t="str">
        <f>_xll.SUBNM("Region06:Version","Current","Actual","Caption_Default")</f>
        <v>Actual</v>
      </c>
    </row>
    <row r="7" spans="1:4" ht="15.75" thickBot="1" x14ac:dyDescent="0.3">
      <c r="A7" s="7"/>
      <c r="B7" s="5" t="s">
        <v>4</v>
      </c>
      <c r="C7" s="5" t="s">
        <v>5</v>
      </c>
      <c r="D7" s="6"/>
    </row>
    <row r="8" spans="1:4" x14ac:dyDescent="0.25">
      <c r="A8" s="8" t="s">
        <v>6</v>
      </c>
      <c r="B8" s="4">
        <f>_xll.DBRW($A$1,$B$3,$B$2,B$7,$B$4,$A8,$B$5)</f>
        <v>27095584.202106483</v>
      </c>
      <c r="C8" s="4">
        <f>_xll.DBRW($A$1,$B$3,$B$2,C$7,$B$4,$A8,$B$5)</f>
        <v>18124263.767792244</v>
      </c>
      <c r="D8" s="4"/>
    </row>
    <row r="9" spans="1:4" x14ac:dyDescent="0.25">
      <c r="A9" s="9" t="s">
        <v>7</v>
      </c>
      <c r="B9" s="4">
        <f>_xll.DBRW($A$1,$B$3,$B$2,B$7,$B$4,$A9,$B$5)</f>
        <v>37435131.856146678</v>
      </c>
      <c r="C9" s="4">
        <f>_xll.DBRW($A$1,$B$3,$B$2,C$7,$B$4,$A9,$B$5)</f>
        <v>32089257.206253693</v>
      </c>
      <c r="D9" s="4"/>
    </row>
    <row r="10" spans="1:4" x14ac:dyDescent="0.25">
      <c r="A10" s="10" t="s">
        <v>8</v>
      </c>
      <c r="B10" s="4">
        <f>_xll.DBRW($A$1,$B$3,$B$2,B$7,$B$4,$A10,$B$5)</f>
        <v>91154343.327724606</v>
      </c>
      <c r="C10" s="4">
        <f>_xll.DBRW($A$1,$B$3,$B$2,C$7,$B$4,$A10,$B$5)</f>
        <v>80648313.087828159</v>
      </c>
      <c r="D10" s="4"/>
    </row>
    <row r="11" spans="1:4" x14ac:dyDescent="0.25">
      <c r="A11" s="10" t="s">
        <v>9</v>
      </c>
      <c r="B11" s="4">
        <f>_xll.DBRW($A$1,$B$3,$B$2,B$7,$B$4,$A11,$B$5)</f>
        <v>53719211.471577927</v>
      </c>
      <c r="C11" s="4">
        <f>_xll.DBRW($A$1,$B$3,$B$2,C$7,$B$4,$A11,$B$5)</f>
        <v>48559055.881574467</v>
      </c>
      <c r="D11" s="4"/>
    </row>
    <row r="12" spans="1:4" x14ac:dyDescent="0.25">
      <c r="A12" s="9" t="s">
        <v>10</v>
      </c>
      <c r="B12" s="4">
        <f>_xll.DBRW($A$1,$B$3,$B$2,B$7,$B$4,$A12,$B$5)</f>
        <v>10339547.654040206</v>
      </c>
      <c r="C12" s="4">
        <f>_xll.DBRW($A$1,$B$3,$B$2,C$7,$B$4,$A12,$B$5)</f>
        <v>13964993.438461449</v>
      </c>
      <c r="D12" s="4"/>
    </row>
    <row r="13" spans="1:4" x14ac:dyDescent="0.25">
      <c r="A13" s="10" t="s">
        <v>11</v>
      </c>
      <c r="B13" s="4">
        <f>_xll.DBRW($A$1,$B$3,$B$2,B$7,$B$4,$A13,$B$5)</f>
        <v>2663600.2813968216</v>
      </c>
      <c r="C13" s="4">
        <f>_xll.DBRW($A$1,$B$3,$B$2,C$7,$B$4,$A13,$B$5)</f>
        <v>7393811.4384614434</v>
      </c>
      <c r="D13" s="4"/>
    </row>
    <row r="14" spans="1:4" x14ac:dyDescent="0.25">
      <c r="A14" s="10" t="s">
        <v>12</v>
      </c>
      <c r="B14" s="4">
        <f>_xll.DBRW($A$1,$B$3,$B$2,B$7,$B$4,$A14,$B$5)</f>
        <v>660030.12528623524</v>
      </c>
      <c r="C14" s="4">
        <f>_xll.DBRW($A$1,$B$3,$B$2,C$7,$B$4,$A14,$B$5)</f>
        <v>659040</v>
      </c>
      <c r="D14" s="4"/>
    </row>
    <row r="15" spans="1:4" x14ac:dyDescent="0.25">
      <c r="A15" s="10" t="s">
        <v>13</v>
      </c>
      <c r="B15" s="4">
        <f>_xll.DBRW($A$1,$B$3,$B$2,B$7,$B$4,$A15,$B$5)</f>
        <v>432392.09965876525</v>
      </c>
      <c r="C15" s="4">
        <f>_xll.DBRW($A$1,$B$3,$B$2,C$7,$B$4,$A15,$B$5)</f>
        <v>429480</v>
      </c>
      <c r="D15" s="4"/>
    </row>
    <row r="16" spans="1:4" x14ac:dyDescent="0.25">
      <c r="A16" s="10" t="s">
        <v>14</v>
      </c>
      <c r="B16" s="4">
        <f>_xll.DBRW($A$1,$B$3,$B$2,B$7,$B$4,$A16,$B$5)</f>
        <v>3452082.5291492147</v>
      </c>
      <c r="C16" s="4">
        <f>_xll.DBRW($A$1,$B$3,$B$2,C$7,$B$4,$A16,$B$5)</f>
        <v>2357997.0000000037</v>
      </c>
      <c r="D16" s="4"/>
    </row>
    <row r="17" spans="1:4" x14ac:dyDescent="0.25">
      <c r="A17" s="10" t="s">
        <v>15</v>
      </c>
      <c r="B17" s="4">
        <f>_xll.DBRW($A$1,$B$3,$B$2,B$7,$B$4,$A17,$B$5)</f>
        <v>1004178.2214687511</v>
      </c>
      <c r="C17" s="4">
        <f>_xll.DBRW($A$1,$B$3,$B$2,C$7,$B$4,$A17,$B$5)</f>
        <v>1002240</v>
      </c>
      <c r="D17" s="4"/>
    </row>
    <row r="18" spans="1:4" x14ac:dyDescent="0.25">
      <c r="A18" s="10" t="s">
        <v>16</v>
      </c>
      <c r="B18" s="4">
        <f>_xll.DBRW($A$1,$B$3,$B$2,B$7,$B$4,$A18,$B$5)</f>
        <v>2127264.3970804168</v>
      </c>
      <c r="C18" s="4">
        <f>_xll.DBRW($A$1,$B$3,$B$2,C$7,$B$4,$A18,$B$5)</f>
        <v>2122425</v>
      </c>
      <c r="D18" s="4"/>
    </row>
  </sheetData>
  <pageMargins left="0.7" right="0.7" top="0.75" bottom="0.75" header="0.3" footer="0.3"/>
  <pageSetup orientation="portrait" r:id="rId1"/>
  <customProperties>
    <customPr name="COR_LastLabelRowStart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6E0E-D87F-438F-8412-F5021A6125F9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2022-12-15T10:33:44Z</dcterms:created>
  <dcterms:modified xsi:type="dcterms:W3CDTF">2022-12-15T11:01:54Z</dcterms:modified>
</cp:coreProperties>
</file>