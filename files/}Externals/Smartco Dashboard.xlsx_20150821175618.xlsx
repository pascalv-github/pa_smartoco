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rinterSettings/printerSettings1.bin" ContentType="application/vnd.openxmlformats-officedocument.spreadsheetml.printerSettings"/>
  <Override PartName="/xl/printerSettings/printerSettings2.bin" ContentType="application/vnd.openxmlformats-officedocument.spreadsheetml.printerSettings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IBM Demos\SmartCo\CAFE_SmartcoDashboard\"/>
    </mc:Choice>
  </mc:AlternateContent>
  <bookViews>
    <workbookView showHorizontalScroll="0" showVerticalScroll="0" xWindow="120" yWindow="45" windowWidth="24240" windowHeight="12915" firstSheet="2" activeTab="2"/>
  </bookViews>
  <sheets>
    <sheet name="Cognos_Office_Connection_Cache" sheetId="4" state="veryHidden" r:id="rId1"/>
    <sheet name="Sheet0" sheetId="5" state="hidden" r:id="rId2"/>
    <sheet name="Dashboard" sheetId="1" r:id="rId3"/>
  </sheets>
  <externalReferences>
    <externalReference r:id="rId4"/>
  </externalReferences>
  <definedNames>
    <definedName name="ID" localSheetId="0" hidden="1">"01c08802-3358-475a-8fa1-20d8fbc94fac"</definedName>
    <definedName name="ID" localSheetId="2" hidden="1">"5d5ca9b4-bcdc-4c67-b88a-18bcabf67ffb"</definedName>
    <definedName name="ID" localSheetId="1" hidden="1">"fb95c684-4fad-4d5d-adcd-4ea1002d9a03"</definedName>
    <definedName name="Metrics1">Dashboard!$C$50</definedName>
    <definedName name="Metrics2">Dashboard!$D$50</definedName>
    <definedName name="Metrics3">Dashboard!$E$50</definedName>
    <definedName name="Metrics4">Dashboard!$F$50</definedName>
    <definedName name="Metrics5">Dashboard!$G$50</definedName>
    <definedName name="TM1REBUILDOPTION">1</definedName>
    <definedName name="ValSelect">Dashboard!$H$8</definedName>
    <definedName name="ValSelOption">[1]Dashboard!$H$17</definedName>
  </definedNames>
  <calcPr calcId="152511" concurrentCalc="0"/>
</workbook>
</file>

<file path=xl/calcChain.xml><?xml version="1.0" encoding="utf-8"?>
<calcChain xmlns="http://schemas.openxmlformats.org/spreadsheetml/2006/main">
  <c r="H8" i="1" l="1"/>
  <c r="C50" i="1"/>
  <c r="D50" i="1"/>
  <c r="E50" i="1"/>
  <c r="F50" i="1"/>
  <c r="C47" i="1"/>
  <c r="E71" i="1"/>
  <c r="D47" i="1"/>
  <c r="E47" i="1"/>
  <c r="N14" i="1"/>
  <c r="R14" i="1"/>
  <c r="V14" i="1"/>
  <c r="N15" i="1"/>
  <c r="R15" i="1"/>
  <c r="V15" i="1"/>
  <c r="N16" i="1"/>
  <c r="R16" i="1"/>
  <c r="V16" i="1"/>
  <c r="N17" i="1"/>
  <c r="R17" i="1"/>
  <c r="V17" i="1"/>
  <c r="N18" i="1"/>
  <c r="R18" i="1"/>
  <c r="V18" i="1"/>
  <c r="N19" i="1"/>
  <c r="R19" i="1"/>
  <c r="V19" i="1"/>
  <c r="N20" i="1"/>
  <c r="R20" i="1"/>
  <c r="V20" i="1"/>
  <c r="O13" i="1"/>
  <c r="S13" i="1"/>
  <c r="W13" i="1"/>
  <c r="M25" i="1"/>
  <c r="Q25" i="1"/>
  <c r="U25" i="1"/>
  <c r="M26" i="1"/>
  <c r="Q26" i="1"/>
  <c r="U26" i="1"/>
  <c r="M27" i="1"/>
  <c r="Q27" i="1"/>
  <c r="U27" i="1"/>
  <c r="M28" i="1"/>
  <c r="Q28" i="1"/>
  <c r="U28" i="1"/>
  <c r="M29" i="1"/>
  <c r="Q29" i="1"/>
  <c r="U29" i="1"/>
  <c r="M30" i="1"/>
  <c r="Q30" i="1"/>
  <c r="U30" i="1"/>
  <c r="M31" i="1"/>
  <c r="Q31" i="1"/>
  <c r="U31" i="1"/>
  <c r="M32" i="1"/>
  <c r="Q32" i="1"/>
  <c r="C71" i="1"/>
  <c r="O14" i="1"/>
  <c r="S14" i="1"/>
  <c r="W14" i="1"/>
  <c r="O15" i="1"/>
  <c r="S15" i="1"/>
  <c r="W15" i="1"/>
  <c r="O16" i="1"/>
  <c r="S16" i="1"/>
  <c r="W16" i="1"/>
  <c r="O17" i="1"/>
  <c r="S17" i="1"/>
  <c r="W17" i="1"/>
  <c r="O18" i="1"/>
  <c r="S18" i="1"/>
  <c r="W18" i="1"/>
  <c r="O19" i="1"/>
  <c r="S19" i="1"/>
  <c r="W19" i="1"/>
  <c r="O20" i="1"/>
  <c r="S20" i="1"/>
  <c r="W20" i="1"/>
  <c r="P13" i="1"/>
  <c r="T13" i="1"/>
  <c r="L13" i="1"/>
  <c r="L25" i="1"/>
  <c r="P25" i="1"/>
  <c r="T25" i="1"/>
  <c r="L26" i="1"/>
  <c r="P26" i="1"/>
  <c r="T26" i="1"/>
  <c r="L27" i="1"/>
  <c r="P27" i="1"/>
  <c r="T27" i="1"/>
  <c r="L28" i="1"/>
  <c r="D71" i="1"/>
  <c r="L14" i="1"/>
  <c r="P14" i="1"/>
  <c r="T14" i="1"/>
  <c r="L15" i="1"/>
  <c r="P15" i="1"/>
  <c r="T15" i="1"/>
  <c r="L16" i="1"/>
  <c r="P16" i="1"/>
  <c r="T16" i="1"/>
  <c r="L17" i="1"/>
  <c r="P17" i="1"/>
  <c r="T17" i="1"/>
  <c r="L18" i="1"/>
  <c r="P18" i="1"/>
  <c r="T18" i="1"/>
  <c r="L19" i="1"/>
  <c r="P19" i="1"/>
  <c r="T19" i="1"/>
  <c r="L20" i="1"/>
  <c r="P20" i="1"/>
  <c r="T20" i="1"/>
  <c r="M13" i="1"/>
  <c r="Q13" i="1"/>
  <c r="U13" i="1"/>
  <c r="L24" i="1"/>
  <c r="O25" i="1"/>
  <c r="S25" i="1"/>
  <c r="W25" i="1"/>
  <c r="O26" i="1"/>
  <c r="S26" i="1"/>
  <c r="W26" i="1"/>
  <c r="O27" i="1"/>
  <c r="S27" i="1"/>
  <c r="W27" i="1"/>
  <c r="O28" i="1"/>
  <c r="S28" i="1"/>
  <c r="W28" i="1"/>
  <c r="O29" i="1"/>
  <c r="M14" i="1"/>
  <c r="Q14" i="1"/>
  <c r="U14" i="1"/>
  <c r="M15" i="1"/>
  <c r="Q15" i="1"/>
  <c r="U15" i="1"/>
  <c r="M16" i="1"/>
  <c r="Q16" i="1"/>
  <c r="U16" i="1"/>
  <c r="M17" i="1"/>
  <c r="Q17" i="1"/>
  <c r="U17" i="1"/>
  <c r="M18" i="1"/>
  <c r="Q18" i="1"/>
  <c r="U18" i="1"/>
  <c r="M19" i="1"/>
  <c r="Q19" i="1"/>
  <c r="U19" i="1"/>
  <c r="M20" i="1"/>
  <c r="Q20" i="1"/>
  <c r="U20" i="1"/>
  <c r="N13" i="1"/>
  <c r="R13" i="1"/>
  <c r="V13" i="1"/>
  <c r="N25" i="1"/>
  <c r="R25" i="1"/>
  <c r="V25" i="1"/>
  <c r="N26" i="1"/>
  <c r="R26" i="1"/>
  <c r="V26" i="1"/>
  <c r="N27" i="1"/>
  <c r="R27" i="1"/>
  <c r="V27" i="1"/>
  <c r="N28" i="1"/>
  <c r="R28" i="1"/>
  <c r="V28" i="1"/>
  <c r="N29" i="1"/>
  <c r="R29" i="1"/>
  <c r="V29" i="1"/>
  <c r="N30" i="1"/>
  <c r="R30" i="1"/>
  <c r="V30" i="1"/>
  <c r="N31" i="1"/>
  <c r="R31" i="1"/>
  <c r="V31" i="1"/>
  <c r="N32" i="1"/>
  <c r="R32" i="1"/>
  <c r="V32" i="1"/>
  <c r="N33" i="1"/>
  <c r="L29" i="1"/>
  <c r="S29" i="1"/>
  <c r="O30" i="1"/>
  <c r="W30" i="1"/>
  <c r="S31" i="1"/>
  <c r="O32" i="1"/>
  <c r="L33" i="1"/>
  <c r="T33" i="1"/>
  <c r="L34" i="1"/>
  <c r="P34" i="1"/>
  <c r="T34" i="1"/>
  <c r="L35" i="1"/>
  <c r="P35" i="1"/>
  <c r="T35" i="1"/>
  <c r="L36" i="1"/>
  <c r="P36" i="1"/>
  <c r="T36" i="1"/>
  <c r="M24" i="1"/>
  <c r="Q24" i="1"/>
  <c r="U24" i="1"/>
  <c r="S10" i="1"/>
  <c r="S11" i="1"/>
  <c r="P9" i="1"/>
  <c r="L9" i="1"/>
  <c r="B3" i="1"/>
  <c r="B4" i="1"/>
  <c r="B2" i="1"/>
  <c r="B5" i="1"/>
  <c r="F7" i="1"/>
  <c r="H21" i="1"/>
  <c r="U32" i="1"/>
  <c r="W33" i="1"/>
  <c r="W34" i="1"/>
  <c r="O35" i="1"/>
  <c r="O36" i="1"/>
  <c r="P24" i="1"/>
  <c r="T24" i="1"/>
  <c r="L10" i="1"/>
  <c r="T10" i="1"/>
  <c r="P11" i="1"/>
  <c r="M9" i="1"/>
  <c r="H20" i="1"/>
  <c r="T28" i="1"/>
  <c r="T29" i="1"/>
  <c r="P30" i="1"/>
  <c r="L31" i="1"/>
  <c r="P28" i="1"/>
  <c r="W29" i="1"/>
  <c r="S30" i="1"/>
  <c r="O31" i="1"/>
  <c r="W31" i="1"/>
  <c r="S32" i="1"/>
  <c r="W32" i="1"/>
  <c r="M33" i="1"/>
  <c r="R33" i="1"/>
  <c r="V33" i="1"/>
  <c r="N34" i="1"/>
  <c r="R34" i="1"/>
  <c r="V34" i="1"/>
  <c r="N35" i="1"/>
  <c r="R35" i="1"/>
  <c r="V35" i="1"/>
  <c r="N36" i="1"/>
  <c r="R36" i="1"/>
  <c r="V36" i="1"/>
  <c r="O24" i="1"/>
  <c r="S24" i="1"/>
  <c r="W24" i="1"/>
  <c r="M10" i="1"/>
  <c r="Q10" i="1"/>
  <c r="U10" i="1"/>
  <c r="M11" i="1"/>
  <c r="Q11" i="1"/>
  <c r="U11" i="1"/>
  <c r="N9" i="1"/>
  <c r="R9" i="1"/>
  <c r="V9" i="1"/>
  <c r="E7" i="1"/>
  <c r="C7" i="1"/>
  <c r="H10" i="1"/>
  <c r="H19" i="1"/>
  <c r="H13" i="1"/>
  <c r="T31" i="1"/>
  <c r="S33" i="1"/>
  <c r="S35" i="1"/>
  <c r="W35" i="1"/>
  <c r="P29" i="1"/>
  <c r="L30" i="1"/>
  <c r="T30" i="1"/>
  <c r="P31" i="1"/>
  <c r="L32" i="1"/>
  <c r="T32" i="1"/>
  <c r="O33" i="1"/>
  <c r="Q33" i="1"/>
  <c r="U33" i="1"/>
  <c r="M34" i="1"/>
  <c r="Q34" i="1"/>
  <c r="U34" i="1"/>
  <c r="M35" i="1"/>
  <c r="Q35" i="1"/>
  <c r="U35" i="1"/>
  <c r="M36" i="1"/>
  <c r="Q36" i="1"/>
  <c r="U36" i="1"/>
  <c r="N24" i="1"/>
  <c r="R24" i="1"/>
  <c r="V24" i="1"/>
  <c r="N10" i="1"/>
  <c r="R10" i="1"/>
  <c r="V10" i="1"/>
  <c r="N11" i="1"/>
  <c r="R11" i="1"/>
  <c r="V11" i="1"/>
  <c r="O9" i="1"/>
  <c r="S9" i="1"/>
  <c r="W9" i="1"/>
  <c r="H14" i="1"/>
  <c r="H11" i="1"/>
  <c r="H9" i="1"/>
  <c r="O10" i="1"/>
  <c r="W10" i="1"/>
  <c r="O11" i="1"/>
  <c r="W11" i="1"/>
  <c r="T9" i="1"/>
  <c r="D7" i="1"/>
  <c r="H17" i="1"/>
  <c r="H16" i="1"/>
  <c r="H12" i="1"/>
  <c r="P32" i="1"/>
  <c r="P33" i="1"/>
  <c r="O34" i="1"/>
  <c r="S34" i="1"/>
  <c r="S36" i="1"/>
  <c r="W36" i="1"/>
  <c r="P10" i="1"/>
  <c r="L11" i="1"/>
  <c r="T11" i="1"/>
  <c r="Q9" i="1"/>
  <c r="U9" i="1"/>
  <c r="G7" i="1"/>
  <c r="H15" i="1"/>
  <c r="H18" i="1"/>
  <c r="G51" i="1"/>
  <c r="AJ36" i="1"/>
  <c r="W65" i="1"/>
  <c r="AF36" i="1"/>
  <c r="S65" i="1"/>
  <c r="AF34" i="1"/>
  <c r="S63" i="1"/>
  <c r="AB34" i="1"/>
  <c r="O63" i="1"/>
  <c r="AC33" i="1"/>
  <c r="P62" i="1"/>
  <c r="AC32" i="1"/>
  <c r="P61" i="1"/>
  <c r="D51" i="1"/>
  <c r="AI24" i="1"/>
  <c r="V53" i="1"/>
  <c r="AE24" i="1"/>
  <c r="R53" i="1"/>
  <c r="AA24" i="1"/>
  <c r="N53" i="1"/>
  <c r="AH36" i="1"/>
  <c r="U65" i="1"/>
  <c r="AD36" i="1"/>
  <c r="Q65" i="1"/>
  <c r="Z36" i="1"/>
  <c r="M65" i="1"/>
  <c r="AH35" i="1"/>
  <c r="U64" i="1"/>
  <c r="AD35" i="1"/>
  <c r="Q64" i="1"/>
  <c r="Z35" i="1"/>
  <c r="M64" i="1"/>
  <c r="AH34" i="1"/>
  <c r="U63" i="1"/>
  <c r="AD34" i="1"/>
  <c r="Q63" i="1"/>
  <c r="Z34" i="1"/>
  <c r="M63" i="1"/>
  <c r="AH33" i="1"/>
  <c r="U62" i="1"/>
  <c r="AD33" i="1"/>
  <c r="Q62" i="1"/>
  <c r="AB33" i="1"/>
  <c r="O62" i="1"/>
  <c r="AG32" i="1"/>
  <c r="T61" i="1"/>
  <c r="Y32" i="1"/>
  <c r="L61" i="1"/>
  <c r="AC31" i="1"/>
  <c r="P60" i="1"/>
  <c r="AG30" i="1"/>
  <c r="T59" i="1"/>
  <c r="Y30" i="1"/>
  <c r="L59" i="1"/>
  <c r="AC29" i="1"/>
  <c r="P58" i="1"/>
  <c r="AJ35" i="1"/>
  <c r="W64" i="1"/>
  <c r="AF35" i="1"/>
  <c r="S64" i="1"/>
  <c r="AF33" i="1"/>
  <c r="S62" i="1"/>
  <c r="AG31" i="1"/>
  <c r="T60" i="1"/>
  <c r="C51" i="1"/>
  <c r="E51" i="1"/>
  <c r="AJ24" i="1"/>
  <c r="W53" i="1"/>
  <c r="AF24" i="1"/>
  <c r="S53" i="1"/>
  <c r="AB24" i="1"/>
  <c r="O53" i="1"/>
  <c r="AI36" i="1"/>
  <c r="V65" i="1"/>
  <c r="AE36" i="1"/>
  <c r="R65" i="1"/>
  <c r="AA36" i="1"/>
  <c r="N65" i="1"/>
  <c r="AI35" i="1"/>
  <c r="V64" i="1"/>
  <c r="AE35" i="1"/>
  <c r="R64" i="1"/>
  <c r="AA35" i="1"/>
  <c r="N64" i="1"/>
  <c r="AI34" i="1"/>
  <c r="V63" i="1"/>
  <c r="AE34" i="1"/>
  <c r="R63" i="1"/>
  <c r="AA34" i="1"/>
  <c r="N63" i="1"/>
  <c r="AI33" i="1"/>
  <c r="V62" i="1"/>
  <c r="AE33" i="1"/>
  <c r="R62" i="1"/>
  <c r="Z33" i="1"/>
  <c r="M62" i="1"/>
  <c r="AJ32" i="1"/>
  <c r="W61" i="1"/>
  <c r="AF32" i="1"/>
  <c r="S61" i="1"/>
  <c r="AJ31" i="1"/>
  <c r="W60" i="1"/>
  <c r="AB31" i="1"/>
  <c r="O60" i="1"/>
  <c r="AF30" i="1"/>
  <c r="S59" i="1"/>
  <c r="AJ29" i="1"/>
  <c r="W58" i="1"/>
  <c r="AC28" i="1"/>
  <c r="P57" i="1"/>
  <c r="Y31" i="1"/>
  <c r="L60" i="1"/>
  <c r="AC30" i="1"/>
  <c r="P59" i="1"/>
  <c r="AG29" i="1"/>
  <c r="T58" i="1"/>
  <c r="AG28" i="1"/>
  <c r="T57" i="1"/>
  <c r="AG24" i="1"/>
  <c r="T53" i="1"/>
  <c r="AC24" i="1"/>
  <c r="P53" i="1"/>
  <c r="AB36" i="1"/>
  <c r="O65" i="1"/>
  <c r="AB35" i="1"/>
  <c r="O64" i="1"/>
  <c r="AJ34" i="1"/>
  <c r="W63" i="1"/>
  <c r="AJ33" i="1"/>
  <c r="W62" i="1"/>
  <c r="AH32" i="1"/>
  <c r="U61" i="1"/>
  <c r="F51" i="1"/>
  <c r="AH24" i="1"/>
  <c r="U53" i="1"/>
  <c r="AD24" i="1"/>
  <c r="Q53" i="1"/>
  <c r="Z24" i="1"/>
  <c r="M53" i="1"/>
  <c r="AG36" i="1"/>
  <c r="T65" i="1"/>
  <c r="AC36" i="1"/>
  <c r="P65" i="1"/>
  <c r="Y36" i="1"/>
  <c r="L65" i="1"/>
  <c r="AG35" i="1"/>
  <c r="T64" i="1"/>
  <c r="AC35" i="1"/>
  <c r="P64" i="1"/>
  <c r="Y35" i="1"/>
  <c r="L64" i="1"/>
  <c r="AG34" i="1"/>
  <c r="T63" i="1"/>
  <c r="AC34" i="1"/>
  <c r="P63" i="1"/>
  <c r="Y34" i="1"/>
  <c r="L63" i="1"/>
  <c r="AG33" i="1"/>
  <c r="T62" i="1"/>
  <c r="Y33" i="1"/>
  <c r="L62" i="1"/>
  <c r="AB32" i="1"/>
  <c r="O61" i="1"/>
  <c r="AF31" i="1"/>
  <c r="S60" i="1"/>
  <c r="AJ30" i="1"/>
  <c r="W59" i="1"/>
  <c r="AB30" i="1"/>
  <c r="O59" i="1"/>
  <c r="AF29" i="1"/>
  <c r="S58" i="1"/>
  <c r="Y29" i="1"/>
  <c r="L58" i="1"/>
  <c r="AA33" i="1"/>
  <c r="N62" i="1"/>
  <c r="AI32" i="1"/>
  <c r="V61" i="1"/>
  <c r="AE32" i="1"/>
  <c r="R61" i="1"/>
  <c r="AA32" i="1"/>
  <c r="N61" i="1"/>
  <c r="AI31" i="1"/>
  <c r="V60" i="1"/>
  <c r="AE31" i="1"/>
  <c r="R60" i="1"/>
  <c r="AA31" i="1"/>
  <c r="N60" i="1"/>
  <c r="AI30" i="1"/>
  <c r="V59" i="1"/>
  <c r="AE30" i="1"/>
  <c r="R59" i="1"/>
  <c r="AA30" i="1"/>
  <c r="N59" i="1"/>
  <c r="AI29" i="1"/>
  <c r="V58" i="1"/>
  <c r="AE29" i="1"/>
  <c r="R58" i="1"/>
  <c r="AA29" i="1"/>
  <c r="N58" i="1"/>
  <c r="AI28" i="1"/>
  <c r="V57" i="1"/>
  <c r="AE28" i="1"/>
  <c r="R57" i="1"/>
  <c r="AA28" i="1"/>
  <c r="N57" i="1"/>
  <c r="AI27" i="1"/>
  <c r="V56" i="1"/>
  <c r="AE27" i="1"/>
  <c r="R56" i="1"/>
  <c r="AA27" i="1"/>
  <c r="N56" i="1"/>
  <c r="AI26" i="1"/>
  <c r="V55" i="1"/>
  <c r="AE26" i="1"/>
  <c r="R55" i="1"/>
  <c r="AA26" i="1"/>
  <c r="N55" i="1"/>
  <c r="AI25" i="1"/>
  <c r="V54" i="1"/>
  <c r="AE25" i="1"/>
  <c r="R54" i="1"/>
  <c r="AA25" i="1"/>
  <c r="N54" i="1"/>
  <c r="AB29" i="1"/>
  <c r="O58" i="1"/>
  <c r="AJ28" i="1"/>
  <c r="W57" i="1"/>
  <c r="AF28" i="1"/>
  <c r="S57" i="1"/>
  <c r="AB28" i="1"/>
  <c r="O57" i="1"/>
  <c r="AJ27" i="1"/>
  <c r="W56" i="1"/>
  <c r="AF27" i="1"/>
  <c r="S56" i="1"/>
  <c r="AB27" i="1"/>
  <c r="O56" i="1"/>
  <c r="AJ26" i="1"/>
  <c r="W55" i="1"/>
  <c r="AF26" i="1"/>
  <c r="S55" i="1"/>
  <c r="AB26" i="1"/>
  <c r="O55" i="1"/>
  <c r="AJ25" i="1"/>
  <c r="W54" i="1"/>
  <c r="AF25" i="1"/>
  <c r="S54" i="1"/>
  <c r="AB25" i="1"/>
  <c r="O54" i="1"/>
  <c r="Y24" i="1"/>
  <c r="L53" i="1"/>
  <c r="Y28" i="1"/>
  <c r="L57" i="1"/>
  <c r="AG27" i="1"/>
  <c r="T56" i="1"/>
  <c r="AC27" i="1"/>
  <c r="P56" i="1"/>
  <c r="Y27" i="1"/>
  <c r="L56" i="1"/>
  <c r="AG26" i="1"/>
  <c r="T55" i="1"/>
  <c r="AC26" i="1"/>
  <c r="P55" i="1"/>
  <c r="Y26" i="1"/>
  <c r="L55" i="1"/>
  <c r="AG25" i="1"/>
  <c r="T54" i="1"/>
  <c r="AC25" i="1"/>
  <c r="P54" i="1"/>
  <c r="Y25" i="1"/>
  <c r="L54" i="1"/>
  <c r="AD32" i="1"/>
  <c r="Q61" i="1"/>
  <c r="Z32" i="1"/>
  <c r="M61" i="1"/>
  <c r="AH31" i="1"/>
  <c r="U60" i="1"/>
  <c r="AD31" i="1"/>
  <c r="Q60" i="1"/>
  <c r="Z31" i="1"/>
  <c r="M60" i="1"/>
  <c r="AH30" i="1"/>
  <c r="U59" i="1"/>
  <c r="AD30" i="1"/>
  <c r="Q59" i="1"/>
  <c r="Z30" i="1"/>
  <c r="M59" i="1"/>
  <c r="AH29" i="1"/>
  <c r="U58" i="1"/>
  <c r="AD29" i="1"/>
  <c r="Q58" i="1"/>
  <c r="Z29" i="1"/>
  <c r="M58" i="1"/>
  <c r="AH28" i="1"/>
  <c r="U57" i="1"/>
  <c r="AD28" i="1"/>
  <c r="Q57" i="1"/>
  <c r="Z28" i="1"/>
  <c r="M57" i="1"/>
  <c r="AH27" i="1"/>
  <c r="U56" i="1"/>
  <c r="AD27" i="1"/>
  <c r="Q56" i="1"/>
  <c r="Z27" i="1"/>
  <c r="M56" i="1"/>
  <c r="AH26" i="1"/>
  <c r="U55" i="1"/>
  <c r="AD26" i="1"/>
  <c r="Q55" i="1"/>
  <c r="Z26" i="1"/>
  <c r="M55" i="1"/>
  <c r="AH25" i="1"/>
  <c r="U54" i="1"/>
  <c r="AD25" i="1"/>
  <c r="Q54" i="1"/>
  <c r="Z25" i="1"/>
  <c r="M54" i="1"/>
</calcChain>
</file>

<file path=xl/sharedStrings.xml><?xml version="1.0" encoding="utf-8"?>
<sst xmlns="http://schemas.openxmlformats.org/spreadsheetml/2006/main" count="155" uniqueCount="90">
  <si>
    <t>CUBE:</t>
  </si>
  <si>
    <t>Year</t>
  </si>
  <si>
    <t>Currency Calc</t>
  </si>
  <si>
    <t>Organization Reporting</t>
  </si>
  <si>
    <t>Version</t>
  </si>
  <si>
    <t>4999 Gross Revenue</t>
  </si>
  <si>
    <t>5999 Cost of Sales</t>
  </si>
  <si>
    <t>Gross Margin</t>
  </si>
  <si>
    <t>Total Operating Expense</t>
  </si>
  <si>
    <t>Net Profit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</si>
  <si>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</si>
  <si>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</si>
  <si>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</si>
  <si>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</si>
  <si>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</si>
  <si>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</si>
  <si>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</si>
  <si>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</si>
  <si>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</si>
  <si>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</si>
  <si>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</si>
  <si>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</si>
  <si>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Smartco:Income Statement Reporting</t>
  </si>
  <si>
    <t>SMARTCO DASHBOARD</t>
  </si>
  <si>
    <t>Org ID</t>
  </si>
  <si>
    <t>Organization</t>
  </si>
  <si>
    <t>Metrics</t>
  </si>
  <si>
    <t>Gross Revenue</t>
  </si>
  <si>
    <t>Cost of Sales</t>
  </si>
  <si>
    <t>Operating Expense</t>
  </si>
  <si>
    <t>Select Metrics</t>
  </si>
  <si>
    <t>Gross Margin by Channel</t>
  </si>
  <si>
    <t>Product ID</t>
  </si>
  <si>
    <t>Product</t>
  </si>
  <si>
    <t>Retail</t>
  </si>
  <si>
    <t>Internet</t>
  </si>
  <si>
    <t>Distribution</t>
  </si>
  <si>
    <t>Status by Account</t>
  </si>
  <si>
    <t>6099 PAYROLL</t>
  </si>
  <si>
    <t>6199 OFFICE EXPENSE</t>
  </si>
  <si>
    <t>6299 TRAVEL</t>
  </si>
  <si>
    <t>6399 OCCUPANCY</t>
  </si>
  <si>
    <t>6499 MARKETING</t>
  </si>
  <si>
    <t>6599 DEPRECIATION</t>
  </si>
  <si>
    <t>6699 ALLOCATIONS</t>
  </si>
  <si>
    <t>Net Profit After Allocations</t>
  </si>
  <si>
    <t>▲</t>
  </si>
  <si>
    <t>▼</t>
  </si>
  <si>
    <t>▬</t>
  </si>
  <si>
    <t>Compensation Analysis</t>
  </si>
  <si>
    <t xml:space="preserve"> </t>
  </si>
  <si>
    <t>6000 Salary</t>
  </si>
  <si>
    <t>6005 Bonus</t>
  </si>
  <si>
    <t>Medical Exp</t>
  </si>
  <si>
    <t>Other Benefits Exp</t>
  </si>
  <si>
    <t>FICA Exp</t>
  </si>
  <si>
    <t>Medicare Exp</t>
  </si>
  <si>
    <t>Total Expense</t>
  </si>
  <si>
    <t>FTE</t>
  </si>
  <si>
    <t>System:</t>
  </si>
  <si>
    <t>Smartco: smartco</t>
  </si>
  <si>
    <t>Package:</t>
  </si>
  <si>
    <t>Created:</t>
  </si>
  <si>
    <t>12/8/2014 5:10:56 PM</t>
  </si>
  <si>
    <t>Modified:</t>
  </si>
  <si>
    <t>Rows:</t>
  </si>
  <si>
    <t>Columns:</t>
  </si>
  <si>
    <t>Context:</t>
  </si>
  <si>
    <t>Filter Rows:</t>
  </si>
  <si>
    <t>Filter Columns:</t>
  </si>
  <si>
    <t>Revenue</t>
  </si>
  <si>
    <t>Phones</t>
  </si>
  <si>
    <t>3G Smart Phones</t>
  </si>
  <si>
    <t>3G 16Gb</t>
  </si>
  <si>
    <t>3G 32Gb</t>
  </si>
  <si>
    <t>3G 64Gb</t>
  </si>
  <si>
    <t>4G Smart Phones</t>
  </si>
  <si>
    <t>4G 16Gb</t>
  </si>
  <si>
    <t>4G 32Gb</t>
  </si>
  <si>
    <t>Phone Only</t>
  </si>
  <si>
    <t>L40</t>
  </si>
  <si>
    <t>Volume - Units</t>
  </si>
  <si>
    <t>Unit Net Sales Price</t>
  </si>
  <si>
    <t>Unit Direct Cost</t>
  </si>
  <si>
    <t>Total Cost of Goods Sold</t>
  </si>
  <si>
    <t>Gross Margin %</t>
  </si>
  <si>
    <t>12/8/2014 5:11:11 PM</t>
  </si>
  <si>
    <t>Revenue: Report</t>
  </si>
  <si>
    <t>Product: Phones</t>
  </si>
  <si>
    <t>Organization: Total Company, Month: Year, Channel: Channel Total, Year: Y2, Version: Version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</si>
</sst>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4" formatCode="&quot;$&quot;\ #,##0;\(#,##0\);\ m\i\l"/>
    <numFmt numFmtId="165" formatCode="#,##0;\(#,##0\)"/>
    <numFmt numFmtId="166" formatCode="#,###;\(#,###\)"/>
    <numFmt numFmtId="167" formatCode="#,###.00;\(#,###.00\)"/>
    <numFmt numFmtId="168" formatCode="#,###.00\%;\(#,###.00\)\%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indexed="12"/>
      <name val="Calibri"/>
      <family val="2"/>
      <scheme val="minor"/>
    </font>
    <font>
      <b/>
      <sz val="11"/>
      <color rgb="FF329664"/>
      <name val="Calibri"/>
      <family val="2"/>
      <scheme val="minor"/>
    </font>
    <font>
      <b/>
      <sz val="11"/>
      <color rgb="FF0000C0"/>
      <name val="Calibri"/>
      <family val="2"/>
      <scheme val="minor"/>
    </font>
    <font>
      <sz val="24"/>
      <color theme="0" tint="-0.499984740745262"/>
      <name val="Arial"/>
      <family val="2"/>
    </font>
    <font>
      <sz val="8"/>
      <color theme="1"/>
      <name val="Arial"/>
      <family val="2"/>
    </font>
    <font>
      <b/>
      <sz val="11"/>
      <color theme="0" tint="-0.499984740745262"/>
      <name val="Arial"/>
      <family val="2"/>
    </font>
    <font>
      <sz val="11"/>
      <color theme="0" tint="-0.499984740745262"/>
      <name val="Arial"/>
      <family val="2"/>
    </font>
    <font>
      <b/>
      <sz val="8"/>
      <color theme="0" tint="-0.499984740745262"/>
      <name val="Arial"/>
      <family val="2"/>
    </font>
    <font>
      <sz val="24"/>
      <color theme="1"/>
      <name val="Arial"/>
      <family val="2"/>
    </font>
    <font>
      <b/>
      <sz val="12"/>
      <color theme="1"/>
      <name val="Arial"/>
      <family val="2"/>
    </font>
    <font>
      <b/>
      <sz val="8"/>
      <color rgb="FF0000FF"/>
      <name val="Arial"/>
      <family val="2"/>
    </font>
    <font>
      <i/>
      <sz val="8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8"/>
      <color theme="0" tint="-0.499984740745262"/>
      <name val="Arial"/>
      <family val="2"/>
    </font>
    <font>
      <b/>
      <sz val="12"/>
      <color theme="0" tint="-0.499984740745262"/>
      <name val="Arial"/>
      <family val="2"/>
    </font>
    <font>
      <sz val="9"/>
      <color theme="0" tint="-0.499984740745262"/>
      <name val="Arial"/>
      <family val="2"/>
    </font>
    <font>
      <b/>
      <sz val="9"/>
      <color theme="0" tint="-0.499984740745262"/>
      <name val="Arial"/>
      <family val="2"/>
    </font>
    <font>
      <sz val="11"/>
      <color rgb="FF000000"/>
      <name val="Arial"/>
      <family val="2"/>
    </font>
    <font>
      <b/>
      <sz val="9"/>
      <color theme="1"/>
      <name val="Arial"/>
      <family val="2"/>
    </font>
    <font>
      <sz val="16"/>
      <color rgb="FF000000"/>
      <name val="Verdana"/>
      <family val="2"/>
    </font>
    <font>
      <b/>
      <sz val="7"/>
      <color theme="1"/>
      <name val="Calibri"/>
      <family val="2"/>
      <scheme val="minor"/>
    </font>
    <font>
      <sz val="22"/>
      <color theme="0" tint="-0.499984740745262"/>
      <name val="Arial"/>
      <family val="2"/>
    </font>
    <font>
      <sz val="20"/>
      <color theme="0" tint="-0.499984740745262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E5F2FF"/>
        <bgColor indexed="64"/>
      </patternFill>
    </fill>
    <fill>
      <patternFill patternType="solid">
        <fgColor rgb="FFFFFACD"/>
        <bgColor indexed="64"/>
      </patternFill>
    </fill>
    <fill>
      <patternFill patternType="lightTrellis">
        <fgColor rgb="FFAFAFAF"/>
        <bgColor rgb="FFEBEBEB"/>
      </patternFill>
    </fill>
    <fill>
      <patternFill patternType="solid">
        <fgColor rgb="FFEBEBEB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65"/>
        <bgColor indexed="11"/>
      </patternFill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/>
      <diagonal/>
    </border>
  </borders>
  <cellStyleXfs count="28">
    <xf numFmtId="0" fontId="0" fillId="0" borderId="0"/>
    <xf numFmtId="43" fontId="1" fillId="0" borderId="0" applyFont="0" applyFill="0" applyBorder="0" applyAlignment="0" applyProtection="0"/>
    <xf numFmtId="0" fontId="1" fillId="2" borderId="1">
      <alignment horizontal="left" vertical="center"/>
    </xf>
    <xf numFmtId="0" fontId="2" fillId="3" borderId="1">
      <alignment horizontal="left" vertical="center"/>
    </xf>
    <xf numFmtId="0" fontId="2" fillId="4" borderId="1">
      <alignment horizontal="left" vertical="center"/>
    </xf>
    <xf numFmtId="0" fontId="3" fillId="2" borderId="1">
      <alignment horizontal="center" vertical="center"/>
    </xf>
    <xf numFmtId="0" fontId="1" fillId="2" borderId="1">
      <alignment horizontal="center" vertical="center"/>
    </xf>
    <xf numFmtId="0" fontId="2" fillId="3" borderId="1">
      <alignment horizontal="center" vertical="center"/>
    </xf>
    <xf numFmtId="0" fontId="2" fillId="4" borderId="1">
      <alignment horizontal="center" vertical="center"/>
    </xf>
    <xf numFmtId="0" fontId="3" fillId="2" borderId="1">
      <alignment horizontal="center" vertical="center"/>
    </xf>
    <xf numFmtId="0" fontId="4" fillId="0" borderId="1">
      <alignment horizontal="right" vertical="center"/>
    </xf>
    <xf numFmtId="0" fontId="4" fillId="5" borderId="1">
      <alignment horizontal="right" vertical="center"/>
    </xf>
    <xf numFmtId="0" fontId="4" fillId="0" borderId="1">
      <alignment horizontal="center" vertical="center"/>
    </xf>
    <xf numFmtId="0" fontId="3" fillId="3" borderId="1"/>
    <xf numFmtId="0" fontId="3" fillId="0" borderId="1">
      <alignment horizontal="center" vertical="center" wrapText="1"/>
    </xf>
    <xf numFmtId="0" fontId="3" fillId="4" borderId="1"/>
    <xf numFmtId="0" fontId="1" fillId="0" borderId="1">
      <alignment horizontal="left" vertical="center"/>
    </xf>
    <xf numFmtId="0" fontId="1" fillId="0" borderId="1">
      <alignment horizontal="left" vertical="top"/>
    </xf>
    <xf numFmtId="0" fontId="1" fillId="2" borderId="1">
      <alignment horizontal="center" vertical="center"/>
    </xf>
    <xf numFmtId="0" fontId="1" fillId="2" borderId="1">
      <alignment horizontal="left" vertical="center"/>
    </xf>
    <xf numFmtId="0" fontId="4" fillId="0" borderId="1">
      <alignment horizontal="right" vertical="center"/>
    </xf>
    <xf numFmtId="0" fontId="4" fillId="0" borderId="1">
      <alignment horizontal="right" vertical="center"/>
    </xf>
    <xf numFmtId="0" fontId="5" fillId="2" borderId="1">
      <alignment horizontal="left" vertical="center" indent="1"/>
    </xf>
    <xf numFmtId="0" fontId="1" fillId="6" borderId="1"/>
    <xf numFmtId="0" fontId="6" fillId="0" borderId="1"/>
    <xf numFmtId="0" fontId="7" fillId="0" borderId="1"/>
    <xf numFmtId="0" fontId="4" fillId="7" borderId="1"/>
    <xf numFmtId="0" fontId="4" fillId="8" borderId="1"/>
  </cellStyleXfs>
  <cellXfs count="57">
    <xf numFmtId="0" fontId="0" fillId="0" borderId="0" xfId="0"/>
    <xf numFmtId="0" fontId="8" fillId="0" borderId="0" xfId="0" applyFont="1"/>
    <xf numFmtId="0" fontId="9" fillId="0" borderId="0" xfId="0" applyFont="1"/>
    <xf numFmtId="0" fontId="9" fillId="10" borderId="0" xfId="0" applyFont="1" applyFill="1"/>
    <xf numFmtId="0" fontId="9" fillId="0" borderId="0" xfId="0" applyFont="1" applyFill="1"/>
    <xf numFmtId="0" fontId="10" fillId="11" borderId="2" xfId="0" applyFont="1" applyFill="1" applyBorder="1" applyAlignment="1">
      <alignment horizontal="center"/>
    </xf>
    <xf numFmtId="0" fontId="10" fillId="11" borderId="3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2" fillId="0" borderId="0" xfId="0" applyFont="1" applyFill="1" applyAlignment="1">
      <alignment horizontal="center" vertical="center"/>
    </xf>
    <xf numFmtId="0" fontId="13" fillId="0" borderId="0" xfId="0" applyFont="1" applyFill="1"/>
    <xf numFmtId="0" fontId="10" fillId="11" borderId="0" xfId="0" applyFont="1" applyFill="1" applyAlignment="1">
      <alignment horizontal="center"/>
    </xf>
    <xf numFmtId="0" fontId="9" fillId="0" borderId="0" xfId="0" applyFont="1" applyFill="1" applyBorder="1"/>
    <xf numFmtId="0" fontId="14" fillId="0" borderId="0" xfId="0" applyFont="1" applyAlignment="1">
      <alignment horizontal="center"/>
    </xf>
    <xf numFmtId="49" fontId="9" fillId="0" borderId="0" xfId="6" applyNumberFormat="1" applyFont="1" applyFill="1" applyBorder="1">
      <alignment horizontal="center" vertical="center"/>
    </xf>
    <xf numFmtId="0" fontId="15" fillId="0" borderId="0" xfId="0" applyFont="1" applyFill="1" applyBorder="1" applyAlignment="1">
      <alignment horizontal="center"/>
    </xf>
    <xf numFmtId="165" fontId="16" fillId="0" borderId="0" xfId="15" applyNumberFormat="1" applyFont="1" applyFill="1" applyBorder="1"/>
    <xf numFmtId="0" fontId="17" fillId="0" borderId="0" xfId="0" applyFont="1"/>
    <xf numFmtId="0" fontId="18" fillId="0" borderId="0" xfId="0" applyFont="1"/>
    <xf numFmtId="2" fontId="17" fillId="0" borderId="0" xfId="0" applyNumberFormat="1" applyFont="1"/>
    <xf numFmtId="0" fontId="18" fillId="9" borderId="0" xfId="0" applyFont="1" applyFill="1"/>
    <xf numFmtId="0" fontId="17" fillId="0" borderId="0" xfId="0" applyFont="1" applyAlignment="1"/>
    <xf numFmtId="0" fontId="17" fillId="0" borderId="0" xfId="0" applyFont="1" applyFill="1"/>
    <xf numFmtId="0" fontId="17" fillId="12" borderId="0" xfId="0" applyFont="1" applyFill="1"/>
    <xf numFmtId="0" fontId="19" fillId="0" borderId="0" xfId="0" applyFont="1"/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left" indent="4"/>
    </xf>
    <xf numFmtId="43" fontId="9" fillId="0" borderId="0" xfId="1" applyFont="1" applyAlignment="1">
      <alignment horizontal="center"/>
    </xf>
    <xf numFmtId="0" fontId="22" fillId="0" borderId="0" xfId="0" applyFont="1" applyFill="1" applyBorder="1" applyAlignment="1">
      <alignment horizontal="left" indent="3"/>
    </xf>
    <xf numFmtId="0" fontId="22" fillId="0" borderId="0" xfId="0" applyFont="1" applyAlignment="1">
      <alignment horizontal="left" indent="2"/>
    </xf>
    <xf numFmtId="0" fontId="22" fillId="0" borderId="0" xfId="0" applyFont="1" applyAlignment="1">
      <alignment horizontal="left" indent="1"/>
    </xf>
    <xf numFmtId="0" fontId="23" fillId="0" borderId="0" xfId="0" applyFont="1"/>
    <xf numFmtId="0" fontId="25" fillId="0" borderId="0" xfId="0" applyFont="1"/>
    <xf numFmtId="43" fontId="24" fillId="0" borderId="0" xfId="1" applyFont="1" applyAlignment="1">
      <alignment horizontal="center" vertical="center"/>
    </xf>
    <xf numFmtId="0" fontId="9" fillId="0" borderId="0" xfId="0" applyFont="1" applyFill="1" applyBorder="1" applyAlignment="1">
      <alignment horizontal="center"/>
    </xf>
    <xf numFmtId="0" fontId="4" fillId="0" borderId="1" xfId="12" applyAlignment="1">
      <alignment horizontal="center" vertical="center"/>
    </xf>
    <xf numFmtId="0" fontId="26" fillId="0" borderId="0" xfId="0" applyFont="1" applyAlignment="1">
      <alignment horizontal="left" indent="2"/>
    </xf>
    <xf numFmtId="0" fontId="26" fillId="0" borderId="0" xfId="0" quotePrefix="1" applyFont="1" applyAlignment="1">
      <alignment horizontal="left" indent="2"/>
    </xf>
    <xf numFmtId="0" fontId="26" fillId="3" borderId="0" xfId="0" applyFont="1" applyFill="1" applyAlignment="1">
      <alignment horizontal="left" indent="2"/>
    </xf>
    <xf numFmtId="49" fontId="2" fillId="4" borderId="1" xfId="8" applyNumberFormat="1">
      <alignment horizontal="center" vertical="center"/>
    </xf>
    <xf numFmtId="49" fontId="1" fillId="2" borderId="1" xfId="6" applyNumberFormat="1">
      <alignment horizontal="center" vertical="center"/>
    </xf>
    <xf numFmtId="166" fontId="3" fillId="4" borderId="1" xfId="15" applyNumberFormat="1"/>
    <xf numFmtId="167" fontId="4" fillId="7" borderId="1" xfId="26" applyNumberFormat="1"/>
    <xf numFmtId="168" fontId="4" fillId="7" borderId="1" xfId="26" applyNumberFormat="1"/>
    <xf numFmtId="49" fontId="1" fillId="2" borderId="1" xfId="2" applyNumberFormat="1" applyAlignment="1">
      <alignment horizontal="left" vertical="center"/>
    </xf>
    <xf numFmtId="49" fontId="2" fillId="4" borderId="1" xfId="4" applyNumberFormat="1" applyAlignment="1">
      <alignment horizontal="left" vertical="center"/>
    </xf>
    <xf numFmtId="49" fontId="1" fillId="2" borderId="1" xfId="2" applyNumberFormat="1" applyAlignment="1">
      <alignment horizontal="left" vertical="center" indent="1"/>
    </xf>
    <xf numFmtId="49" fontId="2" fillId="4" borderId="1" xfId="4" applyNumberFormat="1" applyAlignment="1">
      <alignment horizontal="left" vertical="center" indent="1"/>
    </xf>
    <xf numFmtId="49" fontId="2" fillId="4" borderId="1" xfId="4" applyNumberFormat="1" applyAlignment="1">
      <alignment horizontal="left" vertical="center" indent="2"/>
    </xf>
    <xf numFmtId="164" fontId="28" fillId="0" borderId="0" xfId="0" applyNumberFormat="1" applyFont="1" applyFill="1" applyAlignment="1">
      <alignment horizontal="center"/>
    </xf>
    <xf numFmtId="0" fontId="20" fillId="0" borderId="0" xfId="0" applyFont="1" applyFill="1" applyAlignment="1">
      <alignment horizontal="center" vertical="center"/>
    </xf>
    <xf numFmtId="0" fontId="27" fillId="0" borderId="0" xfId="0" applyFont="1" applyFill="1" applyAlignment="1">
      <alignment horizontal="center" vertical="center"/>
    </xf>
    <xf numFmtId="0" fontId="27" fillId="0" borderId="0" xfId="0" applyFont="1"/>
    <xf numFmtId="0" fontId="27" fillId="0" borderId="0" xfId="0" applyFont="1" applyAlignment="1">
      <alignment horizontal="center" vertical="center"/>
    </xf>
    <xf numFmtId="0" fontId="10" fillId="11" borderId="4" xfId="0" applyFont="1" applyFill="1" applyBorder="1" applyAlignment="1">
      <alignment horizontal="center"/>
    </xf>
    <xf numFmtId="0" fontId="10" fillId="11" borderId="0" xfId="0" applyFont="1" applyFill="1" applyBorder="1" applyAlignment="1">
      <alignment horizontal="center"/>
    </xf>
    <xf numFmtId="0" fontId="11" fillId="0" borderId="0" xfId="0" applyFont="1" applyAlignment="1">
      <alignment horizontal="center"/>
    </xf>
  </cellXfs>
  <cellStyles count="28">
    <cellStyle name="Calculated Column - IBM Cognos" xfId="20"/>
    <cellStyle name="Calculated Column Name - IBM Cognos" xfId="18"/>
    <cellStyle name="Calculated Row - IBM Cognos" xfId="21"/>
    <cellStyle name="Calculated Row Name - IBM Cognos" xfId="19"/>
    <cellStyle name="Column Name - IBM Cognos" xfId="6"/>
    <cellStyle name="Column Template - IBM Cognos" xfId="9"/>
    <cellStyle name="Comma" xfId="1" builtinId="3"/>
    <cellStyle name="Differs From Base - IBM Cognos" xfId="27"/>
    <cellStyle name="Group Name - IBM Cognos" xfId="17"/>
    <cellStyle name="Hold Values - IBM Cognos" xfId="23"/>
    <cellStyle name="List Name - IBM Cognos" xfId="16"/>
    <cellStyle name="Locked - IBM Cognos" xfId="26"/>
    <cellStyle name="Measure - IBM Cognos" xfId="10"/>
    <cellStyle name="Measure Header - IBM Cognos" xfId="11"/>
    <cellStyle name="Measure Name - IBM Cognos" xfId="12"/>
    <cellStyle name="Measure Summary - IBM Cognos" xfId="13"/>
    <cellStyle name="Measure Summary TM1 - IBM Cognos" xfId="15"/>
    <cellStyle name="Measure Template - IBM Cognos" xfId="14"/>
    <cellStyle name="More - IBM Cognos" xfId="22"/>
    <cellStyle name="Normal" xfId="0" builtinId="0"/>
    <cellStyle name="Pending Change - IBM Cognos" xfId="24"/>
    <cellStyle name="Row Name - IBM Cognos" xfId="2"/>
    <cellStyle name="Row Template - IBM Cognos" xfId="5"/>
    <cellStyle name="Summary Column Name - IBM Cognos" xfId="7"/>
    <cellStyle name="Summary Column Name TM1 - IBM Cognos" xfId="8"/>
    <cellStyle name="Summary Row Name - IBM Cognos" xfId="3"/>
    <cellStyle name="Summary Row Name TM1 - IBM Cognos" xfId="4"/>
    <cellStyle name="Unsaved Change - IBM Cognos" xfId="25"/>
  </cellStyles>
  <dxfs count="8">
    <dxf>
      <font>
        <color rgb="FF92D050"/>
      </font>
    </dxf>
    <dxf>
      <font>
        <color rgb="FFFF0000"/>
      </font>
    </dxf>
    <dxf>
      <font>
        <color rgb="FFFFC000"/>
      </font>
      <fill>
        <patternFill patternType="none">
          <bgColor auto="1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FFDFDFD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FF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0"/>
  <ax:ocxPr ax:name="_ExtentX" ax:value="3969"/>
  <ax:ocxPr ax:name="_ExtentY" ax:value="794"/>
  <ax:ocxPr ax:name="_StockProps" ax:value="0"/>
  <ax:ocxPr ax:name="ServerName" ax:value="smartco"/>
  <ax:ocxPr ax:name="ProcessName" ax:value="Acquire_IS"/>
  <ax:ocxPr ax:name="Name" ax:value=""/>
  <ax:ocxPr ax:name="Type" ax:value=""/>
  <ax:ocxPr ax:name="Value" ax:value=""/>
  <ax:ocxPr ax:name="Prompt" ax:value=""/>
  <ax:ocxPr ax:name="BackColor" ax:value="15921906"/>
  <ax:ocxPr ax:name="ForeColor" ax:value="6776679"/>
  <ax:ocxPr ax:name="Font">
    <ax:font ax:persistence="persistPropertyBag">
      <ax:ocxPr ax:name="Name" ax:value="Arial"/>
      <ax:ocxPr ax:name="Size" ax:value="8.25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Refresh Dashboard"/>
  <ax:ocxPr ax:name="UseFormula" ax:value="0"/>
  <ax:ocxPr ax:name="ProcessNameFormula" ax:value=""/>
  <ax:ocxPr ax:name="ProcessParamFormula" ax:value=""/>
  <ax:ocxPr ax:name="ProcessImage">
    <ax:picture r:id="rId1"/>
  </ax:ocxPr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-1"/>
  <ax:ocxPr ax:name="ShowFailureMessage" ax:value="-1"/>
  <ax:ocxPr ax:name="TargetWorkbookName" ax:value=""/>
  <ax:ocxPr ax:name="TargetWorksheetName" ax:value=""/>
  <ax:ocxPr ax:name="AutoTitles" ax:value="-1"/>
  <ax:ocxPr ax:name="ReplaceWindow" ax:value="0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0"/>
  <ax:ocxPr ax:name="UseApporg" ax:value="-1"/>
  <ax:ocxPr ax:name="Version" ax:value="5"/>
  <ax:ocxPr ax:name="PreRecalc" ax:value="1"/>
  <ax:ocxPr ax:name="WorkSheetRecalc" ax:value="2"/>
  <ax:ocxPr ax:name="ProcessRecalc" ax:value="1"/>
  <ax:ocxPr ax:name="DoReCalcOnly" ax:value="-1"/>
  <ax:ocxPr ax:name="UseReferenceForServerName" ax:value="0"/>
  <ax:ocxPr ax:name="ResizeButtonToCaption" ax:value="0"/>
</ax:ocx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Dashboard!$H$8</c:f>
              <c:strCache>
                <c:ptCount val="1"/>
                <c:pt idx="0">
                  <c:v>Gross Margin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</c:spPr>
          <c:invertIfNegative val="0"/>
          <c:cat>
            <c:strRef>
              <c:f>Dashboard!$B$9:$B$20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Dashboard!$H$9:$H$20</c:f>
              <c:numCache>
                <c:formatCode>0.00</c:formatCode>
                <c:ptCount val="12"/>
                <c:pt idx="0">
                  <c:v>3279288.8001555777</c:v>
                </c:pt>
                <c:pt idx="1">
                  <c:v>3238225.2710340577</c:v>
                </c:pt>
                <c:pt idx="2">
                  <c:v>3237883.3592623165</c:v>
                </c:pt>
                <c:pt idx="3">
                  <c:v>3069193.9688965091</c:v>
                </c:pt>
                <c:pt idx="4">
                  <c:v>3080590.5880485242</c:v>
                </c:pt>
                <c:pt idx="5">
                  <c:v>3136466.1415891619</c:v>
                </c:pt>
                <c:pt idx="6">
                  <c:v>3195891.4581751707</c:v>
                </c:pt>
                <c:pt idx="7">
                  <c:v>3174446.9057898317</c:v>
                </c:pt>
                <c:pt idx="8">
                  <c:v>3019245.2738419082</c:v>
                </c:pt>
                <c:pt idx="9">
                  <c:v>3167361.1687281164</c:v>
                </c:pt>
                <c:pt idx="10">
                  <c:v>3368802.4872237723</c:v>
                </c:pt>
                <c:pt idx="11">
                  <c:v>3504495.049264709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9"/>
        <c:overlap val="100"/>
        <c:axId val="-1284557296"/>
        <c:axId val="-1284552400"/>
      </c:barChart>
      <c:catAx>
        <c:axId val="-128455729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1000" b="0"/>
            </a:pPr>
            <a:endParaRPr lang="en-US"/>
          </a:p>
        </c:txPr>
        <c:crossAx val="-1284552400"/>
        <c:crosses val="autoZero"/>
        <c:auto val="1"/>
        <c:lblAlgn val="ctr"/>
        <c:lblOffset val="100"/>
        <c:noMultiLvlLbl val="0"/>
      </c:catAx>
      <c:valAx>
        <c:axId val="-1284552400"/>
        <c:scaling>
          <c:orientation val="minMax"/>
        </c:scaling>
        <c:delete val="0"/>
        <c:axPos val="l"/>
        <c:numFmt formatCode="#,##0.00" sourceLinked="0"/>
        <c:majorTickMark val="none"/>
        <c:minorTickMark val="none"/>
        <c:tickLblPos val="nextTo"/>
        <c:spPr>
          <a:ln>
            <a:solidFill>
              <a:schemeClr val="bg1">
                <a:lumMod val="75000"/>
              </a:schemeClr>
            </a:solidFill>
          </a:ln>
        </c:spPr>
        <c:txPr>
          <a:bodyPr/>
          <a:lstStyle/>
          <a:p>
            <a:pPr>
              <a:defRPr sz="800" b="0"/>
            </a:pPr>
            <a:endParaRPr lang="en-US"/>
          </a:p>
        </c:txPr>
        <c:crossAx val="-1284557296"/>
        <c:crosses val="autoZero"/>
        <c:crossBetween val="between"/>
        <c:dispUnits>
          <c:builtInUnit val="millions"/>
          <c:dispUnitsLbl>
            <c:layout>
              <c:manualLayout>
                <c:xMode val="edge"/>
                <c:yMode val="edge"/>
                <c:x val="8.6851641666995313E-3"/>
                <c:y val="6.4832995864518073E-2"/>
              </c:manualLayout>
            </c:layout>
          </c:dispUnitsLbl>
        </c:dispUnits>
      </c:valAx>
      <c:spPr>
        <a:noFill/>
      </c:spPr>
    </c:plotArea>
    <c:plotVisOnly val="0"/>
    <c:dispBlanksAs val="gap"/>
    <c:showDLblsOverMax val="0"/>
  </c:chart>
  <c:spPr>
    <a:noFill/>
    <a:ln>
      <a:noFill/>
    </a:ln>
  </c:spPr>
  <c:txPr>
    <a:bodyPr/>
    <a:lstStyle/>
    <a:p>
      <a:pPr>
        <a:defRPr sz="900">
          <a:solidFill>
            <a:schemeClr val="bg1">
              <a:lumMod val="50000"/>
            </a:schemeClr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Dashboard!$K$9</c:f>
              <c:strCache>
                <c:ptCount val="1"/>
                <c:pt idx="0">
                  <c:v>Retail</c:v>
                </c:pt>
              </c:strCache>
            </c:strRef>
          </c:tx>
          <c:spPr>
            <a:ln>
              <a:solidFill>
                <a:srgbClr val="00B0F0"/>
              </a:solidFill>
            </a:ln>
          </c:spPr>
          <c:marker>
            <c:spPr>
              <a:solidFill>
                <a:srgbClr val="00B0F0"/>
              </a:solidFill>
              <a:ln>
                <a:solidFill>
                  <a:srgbClr val="00B0F0"/>
                </a:solidFill>
              </a:ln>
            </c:spPr>
          </c:marker>
          <c:cat>
            <c:strRef>
              <c:f>Dashboard!$L$8:$W$8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Dashboard!$L$9:$W$9</c:f>
              <c:numCache>
                <c:formatCode>General</c:formatCode>
                <c:ptCount val="12"/>
                <c:pt idx="0">
                  <c:v>156875</c:v>
                </c:pt>
                <c:pt idx="1">
                  <c:v>130080</c:v>
                </c:pt>
                <c:pt idx="2">
                  <c:v>130305</c:v>
                </c:pt>
                <c:pt idx="3">
                  <c:v>131500</c:v>
                </c:pt>
                <c:pt idx="4">
                  <c:v>136720</c:v>
                </c:pt>
                <c:pt idx="5">
                  <c:v>151825</c:v>
                </c:pt>
                <c:pt idx="6">
                  <c:v>177735</c:v>
                </c:pt>
                <c:pt idx="7">
                  <c:v>229120</c:v>
                </c:pt>
                <c:pt idx="8">
                  <c:v>229120</c:v>
                </c:pt>
                <c:pt idx="9">
                  <c:v>152955</c:v>
                </c:pt>
                <c:pt idx="10">
                  <c:v>198460</c:v>
                </c:pt>
                <c:pt idx="11">
                  <c:v>209404.99999999997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Dashboard!$K$10</c:f>
              <c:strCache>
                <c:ptCount val="1"/>
                <c:pt idx="0">
                  <c:v>Internet</c:v>
                </c:pt>
              </c:strCache>
            </c:strRef>
          </c:tx>
          <c:spPr>
            <a:ln>
              <a:solidFill>
                <a:srgbClr val="FFC000"/>
              </a:solidFill>
            </a:ln>
          </c:spPr>
          <c:marker>
            <c:spPr>
              <a:solidFill>
                <a:srgbClr val="FFC000"/>
              </a:solidFill>
              <a:ln>
                <a:solidFill>
                  <a:srgbClr val="FFC000"/>
                </a:solidFill>
              </a:ln>
            </c:spPr>
          </c:marker>
          <c:cat>
            <c:strRef>
              <c:f>Dashboard!$L$8:$W$8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Dashboard!$L$10:$W$10</c:f>
              <c:numCache>
                <c:formatCode>General</c:formatCode>
                <c:ptCount val="12"/>
                <c:pt idx="0">
                  <c:v>44045</c:v>
                </c:pt>
                <c:pt idx="1">
                  <c:v>44755</c:v>
                </c:pt>
                <c:pt idx="2">
                  <c:v>45170</c:v>
                </c:pt>
                <c:pt idx="3">
                  <c:v>52065</c:v>
                </c:pt>
                <c:pt idx="4">
                  <c:v>52955</c:v>
                </c:pt>
                <c:pt idx="5">
                  <c:v>54195</c:v>
                </c:pt>
                <c:pt idx="6">
                  <c:v>59835</c:v>
                </c:pt>
                <c:pt idx="7">
                  <c:v>60955</c:v>
                </c:pt>
                <c:pt idx="8">
                  <c:v>62365</c:v>
                </c:pt>
                <c:pt idx="9">
                  <c:v>66850</c:v>
                </c:pt>
                <c:pt idx="10">
                  <c:v>68330</c:v>
                </c:pt>
                <c:pt idx="11">
                  <c:v>70215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Dashboard!$K$11</c:f>
              <c:strCache>
                <c:ptCount val="1"/>
                <c:pt idx="0">
                  <c:v>Distribution</c:v>
                </c:pt>
              </c:strCache>
            </c:strRef>
          </c:tx>
          <c:spPr>
            <a:ln>
              <a:solidFill>
                <a:srgbClr val="92D050"/>
              </a:solidFill>
            </a:ln>
          </c:spPr>
          <c:marker>
            <c:spPr>
              <a:solidFill>
                <a:srgbClr val="92D050"/>
              </a:solidFill>
              <a:ln>
                <a:solidFill>
                  <a:srgbClr val="92D050"/>
                </a:solidFill>
              </a:ln>
            </c:spPr>
          </c:marker>
          <c:cat>
            <c:strRef>
              <c:f>Dashboard!$L$8:$W$8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Dashboard!$L$11:$W$11</c:f>
              <c:numCache>
                <c:formatCode>General</c:formatCode>
                <c:ptCount val="12"/>
                <c:pt idx="0">
                  <c:v>3190</c:v>
                </c:pt>
                <c:pt idx="1">
                  <c:v>3545</c:v>
                </c:pt>
                <c:pt idx="2">
                  <c:v>3569.9999999999995</c:v>
                </c:pt>
                <c:pt idx="3">
                  <c:v>3569.9999999999995</c:v>
                </c:pt>
                <c:pt idx="4">
                  <c:v>3709.9999999999995</c:v>
                </c:pt>
                <c:pt idx="5">
                  <c:v>3874.9999999999995</c:v>
                </c:pt>
                <c:pt idx="6">
                  <c:v>4014.9999999999995</c:v>
                </c:pt>
                <c:pt idx="7">
                  <c:v>4040</c:v>
                </c:pt>
                <c:pt idx="8">
                  <c:v>4180</c:v>
                </c:pt>
                <c:pt idx="9">
                  <c:v>5345</c:v>
                </c:pt>
                <c:pt idx="10">
                  <c:v>5510</c:v>
                </c:pt>
                <c:pt idx="11">
                  <c:v>5560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284552944"/>
        <c:axId val="-1284551312"/>
      </c:lineChart>
      <c:catAx>
        <c:axId val="-128455294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>
                <a:solidFill>
                  <a:schemeClr val="bg1">
                    <a:lumMod val="50000"/>
                  </a:schemeClr>
                </a:solidFill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n-US"/>
          </a:p>
        </c:txPr>
        <c:crossAx val="-1284551312"/>
        <c:crosses val="autoZero"/>
        <c:auto val="1"/>
        <c:lblAlgn val="ctr"/>
        <c:lblOffset val="100"/>
        <c:noMultiLvlLbl val="0"/>
      </c:catAx>
      <c:valAx>
        <c:axId val="-1284551312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>
            <a:solidFill>
              <a:schemeClr val="bg1">
                <a:lumMod val="75000"/>
              </a:schemeClr>
            </a:solidFill>
          </a:ln>
        </c:spPr>
        <c:txPr>
          <a:bodyPr/>
          <a:lstStyle/>
          <a:p>
            <a:pPr>
              <a:defRPr sz="900">
                <a:solidFill>
                  <a:schemeClr val="bg1">
                    <a:lumMod val="50000"/>
                  </a:schemeClr>
                </a:solidFill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n-US"/>
          </a:p>
        </c:txPr>
        <c:crossAx val="-1284552944"/>
        <c:crosses val="autoZero"/>
        <c:crossBetween val="between"/>
        <c:dispUnits>
          <c:builtInUnit val="millions"/>
          <c:dispUnitsLbl>
            <c:layout/>
          </c:dispUnitsLbl>
        </c:dispUnits>
      </c:valAx>
    </c:plotArea>
    <c:legend>
      <c:legendPos val="b"/>
      <c:layout/>
      <c:overlay val="0"/>
      <c:txPr>
        <a:bodyPr/>
        <a:lstStyle/>
        <a:p>
          <a:pPr>
            <a:defRPr sz="1000">
              <a:solidFill>
                <a:schemeClr val="bg1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defRPr>
          </a:pPr>
          <a:endParaRPr lang="en-US"/>
        </a:p>
      </c:txPr>
    </c:legend>
    <c:plotVisOnly val="0"/>
    <c:dispBlanksAs val="zero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Dashboard!$K$14</c:f>
              <c:strCache>
                <c:ptCount val="1"/>
                <c:pt idx="0">
                  <c:v>6005 Bonus</c:v>
                </c:pt>
              </c:strCache>
            </c:strRef>
          </c:tx>
          <c:spPr>
            <a:solidFill>
              <a:srgbClr val="FFC000"/>
            </a:solidFill>
          </c:spPr>
          <c:invertIfNegative val="0"/>
          <c:cat>
            <c:strRef>
              <c:f>Dashboard!$L$8:$W$8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Dashboard!$L$14:$W$14</c:f>
              <c:numCache>
                <c:formatCode>General</c:formatCode>
                <c:ptCount val="12"/>
                <c:pt idx="0">
                  <c:v>11967.345753297794</c:v>
                </c:pt>
                <c:pt idx="1">
                  <c:v>11726.141869236779</c:v>
                </c:pt>
                <c:pt idx="2">
                  <c:v>11973.008857740409</c:v>
                </c:pt>
                <c:pt idx="3">
                  <c:v>12058.569262694393</c:v>
                </c:pt>
                <c:pt idx="4">
                  <c:v>12112.540884446842</c:v>
                </c:pt>
                <c:pt idx="5">
                  <c:v>12180.448848432827</c:v>
                </c:pt>
                <c:pt idx="6">
                  <c:v>12276.204577580198</c:v>
                </c:pt>
                <c:pt idx="7">
                  <c:v>12276.204577580198</c:v>
                </c:pt>
                <c:pt idx="8">
                  <c:v>12276.204577580198</c:v>
                </c:pt>
                <c:pt idx="9">
                  <c:v>12276.204577580198</c:v>
                </c:pt>
                <c:pt idx="10">
                  <c:v>12276.204577580198</c:v>
                </c:pt>
                <c:pt idx="11">
                  <c:v>12276.204577580198</c:v>
                </c:pt>
              </c:numCache>
            </c:numRef>
          </c:val>
        </c:ser>
        <c:ser>
          <c:idx val="2"/>
          <c:order val="1"/>
          <c:tx>
            <c:strRef>
              <c:f>Dashboard!$K$15</c:f>
              <c:strCache>
                <c:ptCount val="1"/>
                <c:pt idx="0">
                  <c:v>Medical Exp</c:v>
                </c:pt>
              </c:strCache>
            </c:strRef>
          </c:tx>
          <c:spPr>
            <a:solidFill>
              <a:srgbClr val="92D050"/>
            </a:solidFill>
          </c:spPr>
          <c:invertIfNegative val="0"/>
          <c:cat>
            <c:strRef>
              <c:f>Dashboard!$L$8:$W$8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Dashboard!$L$15:$W$15</c:f>
              <c:numCache>
                <c:formatCode>General</c:formatCode>
                <c:ptCount val="12"/>
                <c:pt idx="0">
                  <c:v>11100</c:v>
                </c:pt>
                <c:pt idx="1">
                  <c:v>10850</c:v>
                </c:pt>
                <c:pt idx="2">
                  <c:v>11100</c:v>
                </c:pt>
                <c:pt idx="3">
                  <c:v>11100</c:v>
                </c:pt>
                <c:pt idx="4">
                  <c:v>11100</c:v>
                </c:pt>
                <c:pt idx="5">
                  <c:v>11100</c:v>
                </c:pt>
                <c:pt idx="6">
                  <c:v>11100</c:v>
                </c:pt>
                <c:pt idx="7">
                  <c:v>11100</c:v>
                </c:pt>
                <c:pt idx="8">
                  <c:v>11100</c:v>
                </c:pt>
                <c:pt idx="9">
                  <c:v>11100</c:v>
                </c:pt>
                <c:pt idx="10">
                  <c:v>11100</c:v>
                </c:pt>
                <c:pt idx="11">
                  <c:v>11100</c:v>
                </c:pt>
              </c:numCache>
            </c:numRef>
          </c:val>
        </c:ser>
        <c:ser>
          <c:idx val="3"/>
          <c:order val="2"/>
          <c:tx>
            <c:strRef>
              <c:f>Dashboard!$K$16</c:f>
              <c:strCache>
                <c:ptCount val="1"/>
                <c:pt idx="0">
                  <c:v>Other Benefits Exp</c:v>
                </c:pt>
              </c:strCache>
            </c:strRef>
          </c:tx>
          <c:spPr>
            <a:solidFill>
              <a:srgbClr val="00B0F0"/>
            </a:solidFill>
          </c:spPr>
          <c:invertIfNegative val="0"/>
          <c:cat>
            <c:strRef>
              <c:f>Dashboard!$L$8:$W$8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Dashboard!$L$16:$W$16</c:f>
              <c:numCache>
                <c:formatCode>General</c:formatCode>
                <c:ptCount val="12"/>
                <c:pt idx="0">
                  <c:v>47869.383013191175</c:v>
                </c:pt>
                <c:pt idx="1">
                  <c:v>46904.567476947115</c:v>
                </c:pt>
                <c:pt idx="2">
                  <c:v>47892.035430961638</c:v>
                </c:pt>
                <c:pt idx="3">
                  <c:v>48234.277050777571</c:v>
                </c:pt>
                <c:pt idx="4">
                  <c:v>48450.163537787368</c:v>
                </c:pt>
                <c:pt idx="5">
                  <c:v>48721.795393731307</c:v>
                </c:pt>
                <c:pt idx="6">
                  <c:v>49104.818310320792</c:v>
                </c:pt>
                <c:pt idx="7">
                  <c:v>49104.818310320792</c:v>
                </c:pt>
                <c:pt idx="8">
                  <c:v>49104.818310320792</c:v>
                </c:pt>
                <c:pt idx="9">
                  <c:v>49104.818310320792</c:v>
                </c:pt>
                <c:pt idx="10">
                  <c:v>49104.818310320792</c:v>
                </c:pt>
                <c:pt idx="11">
                  <c:v>49104.818310320792</c:v>
                </c:pt>
              </c:numCache>
            </c:numRef>
          </c:val>
        </c:ser>
        <c:ser>
          <c:idx val="4"/>
          <c:order val="3"/>
          <c:tx>
            <c:strRef>
              <c:f>Dashboard!$K$17</c:f>
              <c:strCache>
                <c:ptCount val="1"/>
                <c:pt idx="0">
                  <c:v>FICA Exp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</c:spPr>
          <c:invertIfNegative val="0"/>
          <c:cat>
            <c:strRef>
              <c:f>Dashboard!$L$8:$W$8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Dashboard!$L$17:$W$17</c:f>
              <c:numCache>
                <c:formatCode>General</c:formatCode>
                <c:ptCount val="12"/>
                <c:pt idx="0">
                  <c:v>25474.489993519903</c:v>
                </c:pt>
                <c:pt idx="1">
                  <c:v>24961.047325648691</c:v>
                </c:pt>
                <c:pt idx="2">
                  <c:v>25486.544855176755</c:v>
                </c:pt>
                <c:pt idx="3">
                  <c:v>25668.674437188802</c:v>
                </c:pt>
                <c:pt idx="4">
                  <c:v>25783.562029359178</c:v>
                </c:pt>
                <c:pt idx="5">
                  <c:v>25928.115448697346</c:v>
                </c:pt>
                <c:pt idx="6">
                  <c:v>26131.947477475722</c:v>
                </c:pt>
                <c:pt idx="7">
                  <c:v>26131.947477475722</c:v>
                </c:pt>
                <c:pt idx="8">
                  <c:v>26131.947477475722</c:v>
                </c:pt>
                <c:pt idx="9">
                  <c:v>26001.416810809049</c:v>
                </c:pt>
                <c:pt idx="10">
                  <c:v>22903.255400461938</c:v>
                </c:pt>
                <c:pt idx="11">
                  <c:v>11259.656380300967</c:v>
                </c:pt>
              </c:numCache>
            </c:numRef>
          </c:val>
        </c:ser>
        <c:ser>
          <c:idx val="5"/>
          <c:order val="4"/>
          <c:tx>
            <c:strRef>
              <c:f>Dashboard!$K$18</c:f>
              <c:strCache>
                <c:ptCount val="1"/>
                <c:pt idx="0">
                  <c:v>Medicare Exp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</c:spPr>
          <c:invertIfNegative val="0"/>
          <c:cat>
            <c:strRef>
              <c:f>Dashboard!$L$8:$W$8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Dashboard!$L$18:$W$18</c:f>
              <c:numCache>
                <c:formatCode>General</c:formatCode>
                <c:ptCount val="12"/>
                <c:pt idx="0">
                  <c:v>5824.108266604926</c:v>
                </c:pt>
                <c:pt idx="1">
                  <c:v>5706.7223763618986</c:v>
                </c:pt>
                <c:pt idx="2">
                  <c:v>5826.8643107669996</c:v>
                </c:pt>
                <c:pt idx="3">
                  <c:v>5868.5037078446039</c:v>
                </c:pt>
                <c:pt idx="4">
                  <c:v>5894.7698970974634</c:v>
                </c:pt>
                <c:pt idx="5">
                  <c:v>5927.8184395706412</c:v>
                </c:pt>
                <c:pt idx="6">
                  <c:v>5974.4195610890292</c:v>
                </c:pt>
                <c:pt idx="7">
                  <c:v>5974.4195610890292</c:v>
                </c:pt>
                <c:pt idx="8">
                  <c:v>5974.4195610890292</c:v>
                </c:pt>
                <c:pt idx="9">
                  <c:v>5974.4195610890292</c:v>
                </c:pt>
                <c:pt idx="10">
                  <c:v>5974.4195610890292</c:v>
                </c:pt>
                <c:pt idx="11">
                  <c:v>5974.4195610890292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9"/>
        <c:overlap val="100"/>
        <c:axId val="-1284553488"/>
        <c:axId val="-1284556208"/>
      </c:barChart>
      <c:lineChart>
        <c:grouping val="standard"/>
        <c:varyColors val="0"/>
        <c:ser>
          <c:idx val="6"/>
          <c:order val="5"/>
          <c:tx>
            <c:strRef>
              <c:f>Dashboard!$K$20</c:f>
              <c:strCache>
                <c:ptCount val="1"/>
                <c:pt idx="0">
                  <c:v>FTE</c:v>
                </c:pt>
              </c:strCache>
            </c:strRef>
          </c:tx>
          <c:cat>
            <c:strRef>
              <c:f>Dashboard!$L$8:$W$8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Dashboard!$L$20:$W$20</c:f>
              <c:numCache>
                <c:formatCode>General</c:formatCode>
                <c:ptCount val="12"/>
                <c:pt idx="0">
                  <c:v>44.4</c:v>
                </c:pt>
                <c:pt idx="1">
                  <c:v>43.4</c:v>
                </c:pt>
                <c:pt idx="2">
                  <c:v>44.4</c:v>
                </c:pt>
                <c:pt idx="3">
                  <c:v>44.4</c:v>
                </c:pt>
                <c:pt idx="4">
                  <c:v>44.4</c:v>
                </c:pt>
                <c:pt idx="5">
                  <c:v>44.4</c:v>
                </c:pt>
                <c:pt idx="6">
                  <c:v>44.4</c:v>
                </c:pt>
                <c:pt idx="7">
                  <c:v>44.4</c:v>
                </c:pt>
                <c:pt idx="8">
                  <c:v>44.4</c:v>
                </c:pt>
                <c:pt idx="9">
                  <c:v>44.4</c:v>
                </c:pt>
                <c:pt idx="10">
                  <c:v>44.4</c:v>
                </c:pt>
                <c:pt idx="11">
                  <c:v>44.4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284551856"/>
        <c:axId val="-1284555664"/>
      </c:lineChart>
      <c:catAx>
        <c:axId val="-12845534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1000">
                <a:solidFill>
                  <a:schemeClr val="bg1">
                    <a:lumMod val="50000"/>
                  </a:schemeClr>
                </a:solidFill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n-US"/>
          </a:p>
        </c:txPr>
        <c:crossAx val="-1284556208"/>
        <c:crosses val="autoZero"/>
        <c:auto val="1"/>
        <c:lblAlgn val="ctr"/>
        <c:lblOffset val="100"/>
        <c:noMultiLvlLbl val="0"/>
      </c:catAx>
      <c:valAx>
        <c:axId val="-1284556208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>
            <a:solidFill>
              <a:schemeClr val="bg1">
                <a:lumMod val="75000"/>
              </a:schemeClr>
            </a:solidFill>
          </a:ln>
        </c:spPr>
        <c:txPr>
          <a:bodyPr/>
          <a:lstStyle/>
          <a:p>
            <a:pPr>
              <a:defRPr sz="900">
                <a:solidFill>
                  <a:schemeClr val="bg1">
                    <a:lumMod val="50000"/>
                  </a:schemeClr>
                </a:solidFill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n-US"/>
          </a:p>
        </c:txPr>
        <c:crossAx val="-1284553488"/>
        <c:crosses val="autoZero"/>
        <c:crossBetween val="between"/>
        <c:dispUnits>
          <c:builtInUnit val="thousands"/>
          <c:dispUnitsLbl>
            <c:layout/>
          </c:dispUnitsLbl>
        </c:dispUnits>
      </c:valAx>
      <c:valAx>
        <c:axId val="-1284555664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ln>
            <a:solidFill>
              <a:schemeClr val="bg1">
                <a:lumMod val="75000"/>
              </a:schemeClr>
            </a:solidFill>
          </a:ln>
        </c:spPr>
        <c:txPr>
          <a:bodyPr/>
          <a:lstStyle/>
          <a:p>
            <a:pPr>
              <a:defRPr sz="900">
                <a:solidFill>
                  <a:schemeClr val="bg1">
                    <a:lumMod val="50000"/>
                  </a:schemeClr>
                </a:solidFill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n-US"/>
          </a:p>
        </c:txPr>
        <c:crossAx val="-1284551856"/>
        <c:crosses val="max"/>
        <c:crossBetween val="between"/>
      </c:valAx>
      <c:catAx>
        <c:axId val="-12845518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1284555664"/>
        <c:crosses val="autoZero"/>
        <c:auto val="1"/>
        <c:lblAlgn val="ctr"/>
        <c:lblOffset val="100"/>
        <c:noMultiLvlLbl val="0"/>
      </c:catAx>
    </c:plotArea>
    <c:legend>
      <c:legendPos val="b"/>
      <c:layout/>
      <c:overlay val="0"/>
      <c:txPr>
        <a:bodyPr/>
        <a:lstStyle/>
        <a:p>
          <a:pPr>
            <a:defRPr sz="1000">
              <a:solidFill>
                <a:schemeClr val="bg1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defRPr>
          </a:pPr>
          <a:endParaRPr lang="en-US"/>
        </a:p>
      </c:txPr>
    </c:legend>
    <c:plotVisOnly val="0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501</xdr:colOff>
      <xdr:row>51</xdr:row>
      <xdr:rowOff>180975</xdr:rowOff>
    </xdr:from>
    <xdr:to>
      <xdr:col>7</xdr:col>
      <xdr:colOff>1002</xdr:colOff>
      <xdr:row>64</xdr:row>
      <xdr:rowOff>160421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25132</xdr:colOff>
      <xdr:row>71</xdr:row>
      <xdr:rowOff>80962</xdr:rowOff>
    </xdr:from>
    <xdr:to>
      <xdr:col>6</xdr:col>
      <xdr:colOff>1057274</xdr:colOff>
      <xdr:row>88</xdr:row>
      <xdr:rowOff>166687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1042987</xdr:colOff>
      <xdr:row>70</xdr:row>
      <xdr:rowOff>71436</xdr:rowOff>
    </xdr:from>
    <xdr:to>
      <xdr:col>22</xdr:col>
      <xdr:colOff>333375</xdr:colOff>
      <xdr:row>89</xdr:row>
      <xdr:rowOff>23811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47625</xdr:colOff>
          <xdr:row>45</xdr:row>
          <xdr:rowOff>161925</xdr:rowOff>
        </xdr:from>
        <xdr:to>
          <xdr:col>10</xdr:col>
          <xdr:colOff>1476375</xdr:colOff>
          <xdr:row>47</xdr:row>
          <xdr:rowOff>66675</xdr:rowOff>
        </xdr:to>
        <xdr:sp macro="" textlink="">
          <xdr:nvSpPr>
            <xdr:cNvPr id="1028" name="TIButton1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istrator/Desktop/CAFE_Dashboar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gnos_Office_Connection_Cache"/>
      <sheetName val="Dashboard"/>
      <sheetName val="Revenue"/>
    </sheetNames>
    <sheetDataSet>
      <sheetData sheetId="0" refreshError="1"/>
      <sheetData sheetId="1">
        <row r="17">
          <cell r="H17" t="str">
            <v>Net Profit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9.bin"/><Relationship Id="rId13" Type="http://schemas.openxmlformats.org/officeDocument/2006/relationships/customProperty" Target="../customProperty14.bin"/><Relationship Id="rId18" Type="http://schemas.openxmlformats.org/officeDocument/2006/relationships/customProperty" Target="../customProperty19.bin"/><Relationship Id="rId3" Type="http://schemas.openxmlformats.org/officeDocument/2006/relationships/customProperty" Target="../customProperty4.bin"/><Relationship Id="rId21" Type="http://schemas.openxmlformats.org/officeDocument/2006/relationships/customProperty" Target="../customProperty22.bin"/><Relationship Id="rId7" Type="http://schemas.openxmlformats.org/officeDocument/2006/relationships/customProperty" Target="../customProperty8.bin"/><Relationship Id="rId12" Type="http://schemas.openxmlformats.org/officeDocument/2006/relationships/customProperty" Target="../customProperty13.bin"/><Relationship Id="rId17" Type="http://schemas.openxmlformats.org/officeDocument/2006/relationships/customProperty" Target="../customProperty18.bin"/><Relationship Id="rId2" Type="http://schemas.openxmlformats.org/officeDocument/2006/relationships/customProperty" Target="../customProperty3.bin"/><Relationship Id="rId16" Type="http://schemas.openxmlformats.org/officeDocument/2006/relationships/customProperty" Target="../customProperty17.bin"/><Relationship Id="rId20" Type="http://schemas.openxmlformats.org/officeDocument/2006/relationships/customProperty" Target="../customProperty21.bin"/><Relationship Id="rId1" Type="http://schemas.openxmlformats.org/officeDocument/2006/relationships/printerSettings" Target="../printerSettings/printerSettings1.bin"/><Relationship Id="rId6" Type="http://schemas.openxmlformats.org/officeDocument/2006/relationships/customProperty" Target="../customProperty7.bin"/><Relationship Id="rId11" Type="http://schemas.openxmlformats.org/officeDocument/2006/relationships/customProperty" Target="../customProperty12.bin"/><Relationship Id="rId5" Type="http://schemas.openxmlformats.org/officeDocument/2006/relationships/customProperty" Target="../customProperty6.bin"/><Relationship Id="rId15" Type="http://schemas.openxmlformats.org/officeDocument/2006/relationships/customProperty" Target="../customProperty16.bin"/><Relationship Id="rId10" Type="http://schemas.openxmlformats.org/officeDocument/2006/relationships/customProperty" Target="../customProperty11.bin"/><Relationship Id="rId19" Type="http://schemas.openxmlformats.org/officeDocument/2006/relationships/customProperty" Target="../customProperty20.bin"/><Relationship Id="rId4" Type="http://schemas.openxmlformats.org/officeDocument/2006/relationships/customProperty" Target="../customProperty5.bin"/><Relationship Id="rId9" Type="http://schemas.openxmlformats.org/officeDocument/2006/relationships/customProperty" Target="../customProperty10.bin"/><Relationship Id="rId14" Type="http://schemas.openxmlformats.org/officeDocument/2006/relationships/customProperty" Target="../customProperty15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  <customProperties>
    <customPr name="CafeStyleVersion" r:id="rId1"/>
    <customPr name="LastTupleSet_COR_Mappings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rgb="FF808080"/>
  </sheetPr>
  <dimension ref="B3:L20"/>
  <sheetViews>
    <sheetView workbookViewId="0"/>
  </sheetViews>
  <sheetFormatPr defaultRowHeight="15" x14ac:dyDescent="0.25"/>
  <cols>
    <col min="1" max="1" width="2.7109375" customWidth="1"/>
    <col min="2" max="2" width="25.5703125" customWidth="1"/>
    <col min="3" max="3" width="10.140625" bestFit="1" customWidth="1"/>
    <col min="4" max="4" width="16.140625" bestFit="1" customWidth="1"/>
    <col min="5" max="7" width="9.28515625" bestFit="1" customWidth="1"/>
    <col min="8" max="8" width="16.140625" bestFit="1" customWidth="1"/>
    <col min="9" max="10" width="10.140625" bestFit="1" customWidth="1"/>
    <col min="11" max="11" width="11.28515625" bestFit="1" customWidth="1"/>
    <col min="12" max="12" width="9.28515625" bestFit="1" customWidth="1"/>
  </cols>
  <sheetData>
    <row r="3" spans="2:12" hidden="1" x14ac:dyDescent="0.25">
      <c r="B3" s="38" t="s">
        <v>59</v>
      </c>
      <c r="C3" s="36" t="s">
        <v>60</v>
      </c>
    </row>
    <row r="4" spans="2:12" hidden="1" x14ac:dyDescent="0.25">
      <c r="B4" s="38" t="s">
        <v>61</v>
      </c>
      <c r="C4" s="36" t="s">
        <v>70</v>
      </c>
    </row>
    <row r="5" spans="2:12" hidden="1" x14ac:dyDescent="0.25">
      <c r="B5" s="38" t="s">
        <v>62</v>
      </c>
      <c r="C5" s="37" t="s">
        <v>63</v>
      </c>
    </row>
    <row r="6" spans="2:12" hidden="1" x14ac:dyDescent="0.25">
      <c r="B6" s="38" t="s">
        <v>64</v>
      </c>
      <c r="C6" s="37" t="s">
        <v>86</v>
      </c>
    </row>
    <row r="7" spans="2:12" hidden="1" x14ac:dyDescent="0.25">
      <c r="B7" s="38" t="s">
        <v>65</v>
      </c>
      <c r="C7" s="36" t="s">
        <v>87</v>
      </c>
    </row>
    <row r="8" spans="2:12" hidden="1" x14ac:dyDescent="0.25">
      <c r="B8" s="38" t="s">
        <v>66</v>
      </c>
      <c r="C8" s="36" t="s">
        <v>88</v>
      </c>
    </row>
    <row r="9" spans="2:12" hidden="1" x14ac:dyDescent="0.25">
      <c r="B9" s="38" t="s">
        <v>67</v>
      </c>
      <c r="C9" s="36" t="s">
        <v>89</v>
      </c>
    </row>
    <row r="10" spans="2:12" hidden="1" x14ac:dyDescent="0.25">
      <c r="B10" s="38" t="s">
        <v>68</v>
      </c>
      <c r="C10" s="36"/>
    </row>
    <row r="11" spans="2:12" hidden="1" x14ac:dyDescent="0.25">
      <c r="B11" s="38" t="s">
        <v>69</v>
      </c>
      <c r="C11" s="36"/>
    </row>
    <row r="12" spans="2:12" hidden="1" x14ac:dyDescent="0.25"/>
    <row r="13" spans="2:12" x14ac:dyDescent="0.25">
      <c r="B13" s="35"/>
      <c r="C13" s="39" t="s">
        <v>71</v>
      </c>
      <c r="D13" s="39" t="s">
        <v>72</v>
      </c>
      <c r="E13" s="40" t="s">
        <v>73</v>
      </c>
      <c r="F13" s="40" t="s">
        <v>74</v>
      </c>
      <c r="G13" s="40" t="s">
        <v>75</v>
      </c>
      <c r="H13" s="39" t="s">
        <v>76</v>
      </c>
      <c r="I13" s="40" t="s">
        <v>77</v>
      </c>
      <c r="J13" s="40" t="s">
        <v>78</v>
      </c>
      <c r="K13" s="39" t="s">
        <v>79</v>
      </c>
      <c r="L13" s="40" t="s">
        <v>80</v>
      </c>
    </row>
    <row r="14" spans="2:12" x14ac:dyDescent="0.25">
      <c r="B14" s="44" t="s">
        <v>81</v>
      </c>
      <c r="C14" s="41">
        <v>2432373.9379016538</v>
      </c>
      <c r="D14" s="41">
        <v>1397858.69711153</v>
      </c>
      <c r="E14" s="41">
        <v>347389.46695532277</v>
      </c>
      <c r="F14" s="41">
        <v>573896.50382366683</v>
      </c>
      <c r="G14" s="41">
        <v>476572.72633254062</v>
      </c>
      <c r="H14" s="41">
        <v>790285.61105064733</v>
      </c>
      <c r="I14" s="41">
        <v>375238.95717881102</v>
      </c>
      <c r="J14" s="41">
        <v>415046.65387183637</v>
      </c>
      <c r="K14" s="41">
        <v>244229.62973947631</v>
      </c>
      <c r="L14" s="41">
        <v>244229.62973947631</v>
      </c>
    </row>
    <row r="15" spans="2:12" x14ac:dyDescent="0.25">
      <c r="B15" s="44" t="s">
        <v>82</v>
      </c>
      <c r="C15" s="42">
        <v>249.0646932200284</v>
      </c>
      <c r="D15" s="42">
        <v>122.72518644466339</v>
      </c>
      <c r="E15" s="42">
        <v>117.5646889560325</v>
      </c>
      <c r="F15" s="42">
        <v>125.4487834941016</v>
      </c>
      <c r="G15" s="42">
        <v>123.2070429056277</v>
      </c>
      <c r="H15" s="42">
        <v>481.13110592044092</v>
      </c>
      <c r="I15" s="42">
        <v>488.7473532430169</v>
      </c>
      <c r="J15" s="42">
        <v>474.24534337717319</v>
      </c>
      <c r="K15" s="42">
        <v>221.24673993647639</v>
      </c>
      <c r="L15" s="42">
        <v>221.24673993647639</v>
      </c>
    </row>
    <row r="16" spans="2:12" x14ac:dyDescent="0.25">
      <c r="B16" s="46" t="s">
        <v>27</v>
      </c>
      <c r="C16" s="41">
        <v>605818468.6398679</v>
      </c>
      <c r="D16" s="41">
        <v>171552469.22630671</v>
      </c>
      <c r="E16" s="41">
        <v>40840734.629204452</v>
      </c>
      <c r="F16" s="41">
        <v>71994618.256197006</v>
      </c>
      <c r="G16" s="41">
        <v>58717116.340905271</v>
      </c>
      <c r="H16" s="41">
        <v>380230990.03780937</v>
      </c>
      <c r="I16" s="41">
        <v>183397047.15481359</v>
      </c>
      <c r="J16" s="41">
        <v>196833942.88299581</v>
      </c>
      <c r="K16" s="41">
        <v>54035009.375751838</v>
      </c>
      <c r="L16" s="41">
        <v>54035009.375751838</v>
      </c>
    </row>
    <row r="17" spans="2:12" x14ac:dyDescent="0.25">
      <c r="B17" s="46" t="s">
        <v>83</v>
      </c>
      <c r="C17" s="42">
        <v>99.554051096917874</v>
      </c>
      <c r="D17" s="42">
        <v>55.734893759938039</v>
      </c>
      <c r="E17" s="42">
        <v>54.755106514535967</v>
      </c>
      <c r="F17" s="42">
        <v>57.978057005812992</v>
      </c>
      <c r="G17" s="42">
        <v>53.747839690161612</v>
      </c>
      <c r="H17" s="42">
        <v>174.30100129339789</v>
      </c>
      <c r="I17" s="42">
        <v>158.68059861180461</v>
      </c>
      <c r="J17" s="42">
        <v>188.42322962188871</v>
      </c>
      <c r="K17" s="42">
        <v>108.4864274663427</v>
      </c>
      <c r="L17" s="42">
        <v>108.4864274663427</v>
      </c>
    </row>
    <row r="18" spans="2:12" x14ac:dyDescent="0.25">
      <c r="B18" s="48" t="s">
        <v>84</v>
      </c>
      <c r="C18" s="41">
        <v>242152679.30067259</v>
      </c>
      <c r="D18" s="41">
        <v>77909505.974916548</v>
      </c>
      <c r="E18" s="41">
        <v>19021347.265166581</v>
      </c>
      <c r="F18" s="41">
        <v>33273404.21412532</v>
      </c>
      <c r="G18" s="41">
        <v>25614754.49562465</v>
      </c>
      <c r="H18" s="41">
        <v>137747573.3138926</v>
      </c>
      <c r="I18" s="41">
        <v>59543142.347603038</v>
      </c>
      <c r="J18" s="41">
        <v>78204430.96628958</v>
      </c>
      <c r="K18" s="41">
        <v>26495600.011863429</v>
      </c>
      <c r="L18" s="41">
        <v>26495600.011863429</v>
      </c>
    </row>
    <row r="19" spans="2:12" x14ac:dyDescent="0.25">
      <c r="B19" s="47" t="s">
        <v>7</v>
      </c>
      <c r="C19" s="41">
        <v>363665789.33919537</v>
      </c>
      <c r="D19" s="41">
        <v>93642963.251390174</v>
      </c>
      <c r="E19" s="41">
        <v>21819387.364037879</v>
      </c>
      <c r="F19" s="41">
        <v>38721214.042071693</v>
      </c>
      <c r="G19" s="41">
        <v>33102361.845280621</v>
      </c>
      <c r="H19" s="41">
        <v>242483416.7239168</v>
      </c>
      <c r="I19" s="41">
        <v>123853904.80721059</v>
      </c>
      <c r="J19" s="41">
        <v>118629511.9167062</v>
      </c>
      <c r="K19" s="41">
        <v>27539409.363888409</v>
      </c>
      <c r="L19" s="41">
        <v>27539409.363888409</v>
      </c>
    </row>
    <row r="20" spans="2:12" x14ac:dyDescent="0.25">
      <c r="B20" s="45" t="s">
        <v>85</v>
      </c>
      <c r="C20" s="43">
        <v>60.028838367319302</v>
      </c>
      <c r="D20" s="43">
        <v>54.585610847640588</v>
      </c>
      <c r="E20" s="43">
        <v>53.425550647258042</v>
      </c>
      <c r="F20" s="43">
        <v>53.783484071378787</v>
      </c>
      <c r="G20" s="43">
        <v>56.376000573822232</v>
      </c>
      <c r="H20" s="43">
        <v>63.772660061139341</v>
      </c>
      <c r="I20" s="43">
        <v>67.533205538832902</v>
      </c>
      <c r="J20" s="43">
        <v>60.268828729008007</v>
      </c>
      <c r="K20" s="43">
        <v>50.965863950135073</v>
      </c>
      <c r="L20" s="43">
        <v>50.965863950135073</v>
      </c>
    </row>
  </sheetData>
  <pageMargins left="0.7" right="0.7" top="0.75" bottom="0.75" header="0.3" footer="0.3"/>
  <pageSetup orientation="portrait" r:id="rId1"/>
  <customProperties>
    <customPr name="###COLSTART###" r:id="rId2"/>
    <customPr name="###DATECREATED###" r:id="rId3"/>
    <customPr name="###LASTCOLSTART###" r:id="rId4"/>
    <customPr name="###LASTROWSTART###" r:id="rId5"/>
    <customPr name="###MOREALL###" r:id="rId6"/>
    <customPr name="###ROWSTART###" r:id="rId7"/>
    <customPr name="###UNCOMMITTEDCHANGES###" r:id="rId8"/>
    <customPr name="COR_DataSourceDriver" r:id="rId9"/>
    <customPr name="COR_DefaultExpandDirection" r:id="rId10"/>
    <customPr name="COR_ExplorationBounds" r:id="rId11"/>
    <customPr name="COR_GroupingOption" r:id="rId12"/>
    <customPr name="COR_LastLabelRowStart" r:id="rId13"/>
    <customPr name="COR_LastRequestFormat" r:id="rId14"/>
    <customPr name="COR_PackageSearchPath" r:id="rId15"/>
    <customPr name="COR_Report" r:id="rId16"/>
    <customPr name="COR_RequestFormat" r:id="rId17"/>
    <customPr name="COR_ResultSet" r:id="rId18"/>
    <customPr name="COR_Server" r:id="rId19"/>
    <customPr name="COR_SHEET_TYPE" r:id="rId20"/>
    <customPr name="COR_STATE" r:id="rId2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AJ87"/>
  <sheetViews>
    <sheetView showGridLines="0" showRowColHeaders="0" tabSelected="1" topLeftCell="B43" zoomScale="80" zoomScaleNormal="80" workbookViewId="0"/>
  </sheetViews>
  <sheetFormatPr defaultColWidth="0" defaultRowHeight="14.25" x14ac:dyDescent="0.2"/>
  <cols>
    <col min="1" max="1" width="21.85546875" style="17" hidden="1" customWidth="1"/>
    <col min="2" max="2" width="2.7109375" style="17" customWidth="1"/>
    <col min="3" max="5" width="21" style="17" customWidth="1"/>
    <col min="6" max="6" width="27.28515625" style="17" bestFit="1" customWidth="1"/>
    <col min="7" max="7" width="16" style="17" customWidth="1"/>
    <col min="8" max="8" width="11.5703125" style="17" hidden="1" customWidth="1"/>
    <col min="9" max="9" width="9.140625" style="17" hidden="1" customWidth="1"/>
    <col min="10" max="10" width="1" style="17" customWidth="1"/>
    <col min="11" max="11" width="29.5703125" style="17" customWidth="1"/>
    <col min="12" max="23" width="6.5703125" style="17" customWidth="1"/>
    <col min="24" max="24" width="9.140625" style="17" customWidth="1"/>
    <col min="25" max="16384" width="9.140625" style="17" hidden="1"/>
  </cols>
  <sheetData>
    <row r="1" spans="1:23" hidden="1" x14ac:dyDescent="0.2">
      <c r="A1" s="17" t="s">
        <v>0</v>
      </c>
      <c r="B1" s="17" t="s">
        <v>22</v>
      </c>
    </row>
    <row r="2" spans="1:23" ht="15" hidden="1" x14ac:dyDescent="0.25">
      <c r="A2" s="18" t="s">
        <v>1</v>
      </c>
      <c r="B2" s="17" t="str">
        <f ca="1">E47</f>
        <v>2015</v>
      </c>
    </row>
    <row r="3" spans="1:23" ht="15" hidden="1" x14ac:dyDescent="0.25">
      <c r="A3" s="18" t="s">
        <v>2</v>
      </c>
      <c r="B3" s="17" t="str">
        <f ca="1">_xll.SUBNM("smartco:Currency Calc","All Members","Local")</f>
        <v>Local</v>
      </c>
    </row>
    <row r="4" spans="1:23" ht="15" hidden="1" x14ac:dyDescent="0.25">
      <c r="A4" s="18" t="s">
        <v>3</v>
      </c>
      <c r="B4" s="17" t="str">
        <f ca="1">C47</f>
        <v>Total Company</v>
      </c>
    </row>
    <row r="5" spans="1:23" ht="15" hidden="1" x14ac:dyDescent="0.25">
      <c r="A5" s="18" t="s">
        <v>4</v>
      </c>
      <c r="B5" s="17" t="str">
        <f ca="1">_xll.SUBNM("smartco:Version","Current","Version 1","Caption_Default")</f>
        <v>Budget</v>
      </c>
    </row>
    <row r="6" spans="1:23" hidden="1" x14ac:dyDescent="0.2"/>
    <row r="7" spans="1:23" hidden="1" x14ac:dyDescent="0.2">
      <c r="C7" s="19">
        <f ca="1">_xll.DBRW($B$1,$B$3,$B$4,$B$2,$B21,C$8,$B$5)</f>
        <v>83932191.242009655</v>
      </c>
      <c r="D7" s="19">
        <f ca="1">_xll.DBRW($B$1,$B$3,$B$4,$B$2,$B21,D$8,$B$5)</f>
        <v>45460300.769999996</v>
      </c>
      <c r="E7" s="19">
        <f ca="1">_xll.DBRW($B$1,$B$3,$B$4,$B$2,$B21,E$8,$B$5)</f>
        <v>38471890.472009659</v>
      </c>
      <c r="F7" s="19">
        <f ca="1">_xll.DBRW($B$1,$B$3,$B$4,$B$2,$B21,F$8,$B$5)</f>
        <v>13501643.76889603</v>
      </c>
      <c r="G7" s="19">
        <f ca="1">_xll.DBRW($B$1,$B$3,$B$4,$B$2,$B21,G$8,$B$5)</f>
        <v>24970246.703113627</v>
      </c>
    </row>
    <row r="8" spans="1:23" ht="15.75" hidden="1" x14ac:dyDescent="0.25">
      <c r="B8" s="17" t="s">
        <v>30</v>
      </c>
      <c r="C8" s="17" t="s">
        <v>5</v>
      </c>
      <c r="D8" s="17" t="s">
        <v>6</v>
      </c>
      <c r="E8" s="20" t="s">
        <v>7</v>
      </c>
      <c r="F8" s="20" t="s">
        <v>8</v>
      </c>
      <c r="G8" s="20" t="s">
        <v>9</v>
      </c>
      <c r="H8" s="20" t="str">
        <f>F47</f>
        <v>Gross Margin</v>
      </c>
      <c r="K8" s="12" t="s">
        <v>7</v>
      </c>
      <c r="L8" s="13" t="s">
        <v>10</v>
      </c>
      <c r="M8" s="13" t="s">
        <v>11</v>
      </c>
      <c r="N8" s="13" t="s">
        <v>12</v>
      </c>
      <c r="O8" s="13" t="s">
        <v>13</v>
      </c>
      <c r="P8" s="13" t="s">
        <v>14</v>
      </c>
      <c r="Q8" s="13" t="s">
        <v>15</v>
      </c>
      <c r="R8" s="13" t="s">
        <v>16</v>
      </c>
      <c r="S8" s="13" t="s">
        <v>17</v>
      </c>
      <c r="T8" s="13" t="s">
        <v>18</v>
      </c>
      <c r="U8" s="13" t="s">
        <v>19</v>
      </c>
      <c r="V8" s="13" t="s">
        <v>20</v>
      </c>
      <c r="W8" s="13" t="s">
        <v>21</v>
      </c>
    </row>
    <row r="9" spans="1:23" hidden="1" x14ac:dyDescent="0.2">
      <c r="B9" s="21" t="s">
        <v>10</v>
      </c>
      <c r="C9" s="19"/>
      <c r="D9" s="19"/>
      <c r="E9" s="19"/>
      <c r="F9" s="19"/>
      <c r="H9" s="19">
        <f ca="1">_xll.DBRW($B$1,$B$3,$B$4,$B$2,$B9,H$8,$B$5)</f>
        <v>3279288.8001555777</v>
      </c>
      <c r="K9" s="14" t="s">
        <v>34</v>
      </c>
      <c r="L9" s="15">
        <f ca="1">_xll.DBRW("Smartco:Revenue",$D$47,$K9,$D$71,L$8,$E$47,$E$71,$K$8)</f>
        <v>156875</v>
      </c>
      <c r="M9" s="15">
        <f ca="1">_xll.DBRW("Smartco:Revenue",$D$47,$K9,$D$71,M$8,$E$47,$E$71,$K$8)</f>
        <v>130080</v>
      </c>
      <c r="N9" s="15">
        <f ca="1">_xll.DBRW("Smartco:Revenue",$D$47,$K9,$D$71,N$8,$E$47,$E$71,$K$8)</f>
        <v>130305</v>
      </c>
      <c r="O9" s="15">
        <f ca="1">_xll.DBRW("Smartco:Revenue",$D$47,$K9,$D$71,O$8,$E$47,$E$71,$K$8)</f>
        <v>131500</v>
      </c>
      <c r="P9" s="15">
        <f ca="1">_xll.DBRW("Smartco:Revenue",$D$47,$K9,$D$71,P$8,$E$47,$E$71,$K$8)</f>
        <v>136720</v>
      </c>
      <c r="Q9" s="15">
        <f ca="1">_xll.DBRW("Smartco:Revenue",$D$47,$K9,$D$71,Q$8,$E$47,$E$71,$K$8)</f>
        <v>151825</v>
      </c>
      <c r="R9" s="15">
        <f ca="1">_xll.DBRW("Smartco:Revenue",$D$47,$K9,$D$71,R$8,$E$47,$E$71,$K$8)</f>
        <v>177735</v>
      </c>
      <c r="S9" s="15">
        <f ca="1">_xll.DBRW("Smartco:Revenue",$D$47,$K9,$D$71,S$8,$E$47,$E$71,$K$8)</f>
        <v>229120</v>
      </c>
      <c r="T9" s="15">
        <f ca="1">_xll.DBRW("Smartco:Revenue",$D$47,$K9,$D$71,T$8,$E$47,$E$71,$K$8)</f>
        <v>229120</v>
      </c>
      <c r="U9" s="15">
        <f ca="1">_xll.DBRW("Smartco:Revenue",$D$47,$K9,$D$71,U$8,$E$47,$E$71,$K$8)</f>
        <v>152955</v>
      </c>
      <c r="V9" s="15">
        <f ca="1">_xll.DBRW("Smartco:Revenue",$D$47,$K9,$D$71,V$8,$E$47,$E$71,$K$8)</f>
        <v>198460</v>
      </c>
      <c r="W9" s="15">
        <f ca="1">_xll.DBRW("Smartco:Revenue",$D$47,$K9,$D$71,W$8,$E$47,$E$71,$K$8)</f>
        <v>209404.99999999997</v>
      </c>
    </row>
    <row r="10" spans="1:23" hidden="1" x14ac:dyDescent="0.2">
      <c r="B10" s="21" t="s">
        <v>11</v>
      </c>
      <c r="C10" s="19"/>
      <c r="D10" s="19"/>
      <c r="E10" s="19"/>
      <c r="F10" s="19"/>
      <c r="H10" s="19">
        <f ca="1">_xll.DBRW($B$1,$B$3,$B$4,$B$2,$B10,H$8,$B$5)</f>
        <v>3238225.2710340577</v>
      </c>
      <c r="K10" s="16" t="s">
        <v>35</v>
      </c>
      <c r="L10" s="15">
        <f ca="1">_xll.DBRW("Smartco:Revenue",$D$47,$K10,$D$71,L$8,$E$47,$E$71,$K$8)</f>
        <v>44045</v>
      </c>
      <c r="M10" s="15">
        <f ca="1">_xll.DBRW("Smartco:Revenue",$D$47,$K10,$D$71,M$8,$E$47,$E$71,$K$8)</f>
        <v>44755</v>
      </c>
      <c r="N10" s="15">
        <f ca="1">_xll.DBRW("Smartco:Revenue",$D$47,$K10,$D$71,N$8,$E$47,$E$71,$K$8)</f>
        <v>45170</v>
      </c>
      <c r="O10" s="15">
        <f ca="1">_xll.DBRW("Smartco:Revenue",$D$47,$K10,$D$71,O$8,$E$47,$E$71,$K$8)</f>
        <v>52065</v>
      </c>
      <c r="P10" s="15">
        <f ca="1">_xll.DBRW("Smartco:Revenue",$D$47,$K10,$D$71,P$8,$E$47,$E$71,$K$8)</f>
        <v>52955</v>
      </c>
      <c r="Q10" s="15">
        <f ca="1">_xll.DBRW("Smartco:Revenue",$D$47,$K10,$D$71,Q$8,$E$47,$E$71,$K$8)</f>
        <v>54195</v>
      </c>
      <c r="R10" s="15">
        <f ca="1">_xll.DBRW("Smartco:Revenue",$D$47,$K10,$D$71,R$8,$E$47,$E$71,$K$8)</f>
        <v>59835</v>
      </c>
      <c r="S10" s="15">
        <f ca="1">_xll.DBRW("Smartco:Revenue",$D$47,$K10,$D$71,S$8,$E$47,$E$71,$K$8)</f>
        <v>60955</v>
      </c>
      <c r="T10" s="15">
        <f ca="1">_xll.DBRW("Smartco:Revenue",$D$47,$K10,$D$71,T$8,$E$47,$E$71,$K$8)</f>
        <v>62365</v>
      </c>
      <c r="U10" s="15">
        <f ca="1">_xll.DBRW("Smartco:Revenue",$D$47,$K10,$D$71,U$8,$E$47,$E$71,$K$8)</f>
        <v>66850</v>
      </c>
      <c r="V10" s="15">
        <f ca="1">_xll.DBRW("Smartco:Revenue",$D$47,$K10,$D$71,V$8,$E$47,$E$71,$K$8)</f>
        <v>68330</v>
      </c>
      <c r="W10" s="15">
        <f ca="1">_xll.DBRW("Smartco:Revenue",$D$47,$K10,$D$71,W$8,$E$47,$E$71,$K$8)</f>
        <v>70215</v>
      </c>
    </row>
    <row r="11" spans="1:23" hidden="1" x14ac:dyDescent="0.2">
      <c r="B11" s="21" t="s">
        <v>12</v>
      </c>
      <c r="C11" s="19"/>
      <c r="D11" s="19"/>
      <c r="E11" s="19"/>
      <c r="F11" s="19"/>
      <c r="H11" s="19">
        <f ca="1">_xll.DBRW($B$1,$B$3,$B$4,$B$2,$B11,H$8,$B$5)</f>
        <v>3237883.3592623165</v>
      </c>
      <c r="K11" s="16" t="s">
        <v>36</v>
      </c>
      <c r="L11" s="15">
        <f ca="1">_xll.DBRW("Smartco:Revenue",$D$47,$K11,$D$71,L$8,$E$47,$E$71,$K$8)</f>
        <v>3190</v>
      </c>
      <c r="M11" s="15">
        <f ca="1">_xll.DBRW("Smartco:Revenue",$D$47,$K11,$D$71,M$8,$E$47,$E$71,$K$8)</f>
        <v>3545</v>
      </c>
      <c r="N11" s="15">
        <f ca="1">_xll.DBRW("Smartco:Revenue",$D$47,$K11,$D$71,N$8,$E$47,$E$71,$K$8)</f>
        <v>3569.9999999999995</v>
      </c>
      <c r="O11" s="15">
        <f ca="1">_xll.DBRW("Smartco:Revenue",$D$47,$K11,$D$71,O$8,$E$47,$E$71,$K$8)</f>
        <v>3569.9999999999995</v>
      </c>
      <c r="P11" s="15">
        <f ca="1">_xll.DBRW("Smartco:Revenue",$D$47,$K11,$D$71,P$8,$E$47,$E$71,$K$8)</f>
        <v>3709.9999999999995</v>
      </c>
      <c r="Q11" s="15">
        <f ca="1">_xll.DBRW("Smartco:Revenue",$D$47,$K11,$D$71,Q$8,$E$47,$E$71,$K$8)</f>
        <v>3874.9999999999995</v>
      </c>
      <c r="R11" s="15">
        <f ca="1">_xll.DBRW("Smartco:Revenue",$D$47,$K11,$D$71,R$8,$E$47,$E$71,$K$8)</f>
        <v>4014.9999999999995</v>
      </c>
      <c r="S11" s="15">
        <f ca="1">_xll.DBRW("Smartco:Revenue",$D$47,$K11,$D$71,S$8,$E$47,$E$71,$K$8)</f>
        <v>4040</v>
      </c>
      <c r="T11" s="15">
        <f ca="1">_xll.DBRW("Smartco:Revenue",$D$47,$K11,$D$71,T$8,$E$47,$E$71,$K$8)</f>
        <v>4180</v>
      </c>
      <c r="U11" s="15">
        <f ca="1">_xll.DBRW("Smartco:Revenue",$D$47,$K11,$D$71,U$8,$E$47,$E$71,$K$8)</f>
        <v>5345</v>
      </c>
      <c r="V11" s="15">
        <f ca="1">_xll.DBRW("Smartco:Revenue",$D$47,$K11,$D$71,V$8,$E$47,$E$71,$K$8)</f>
        <v>5510</v>
      </c>
      <c r="W11" s="15">
        <f ca="1">_xll.DBRW("Smartco:Revenue",$D$47,$K11,$D$71,W$8,$E$47,$E$71,$K$8)</f>
        <v>5560</v>
      </c>
    </row>
    <row r="12" spans="1:23" hidden="1" x14ac:dyDescent="0.2">
      <c r="B12" s="21" t="s">
        <v>13</v>
      </c>
      <c r="C12" s="19"/>
      <c r="D12" s="19"/>
      <c r="E12" s="19"/>
      <c r="F12" s="19"/>
      <c r="H12" s="19">
        <f ca="1">_xll.DBRW($B$1,$B$3,$B$4,$B$2,$B12,H$8,$B$5)</f>
        <v>3069193.9688965091</v>
      </c>
    </row>
    <row r="13" spans="1:23" hidden="1" x14ac:dyDescent="0.2">
      <c r="B13" s="21" t="s">
        <v>14</v>
      </c>
      <c r="C13" s="19"/>
      <c r="D13" s="19"/>
      <c r="E13" s="19"/>
      <c r="F13" s="19"/>
      <c r="H13" s="19">
        <f ca="1">_xll.DBRW($B$1,$B$3,$B$4,$B$2,$B13,H$8,$B$5)</f>
        <v>3080590.5880485242</v>
      </c>
      <c r="K13" s="16" t="s">
        <v>51</v>
      </c>
      <c r="L13" s="34">
        <f ca="1">_xll.DBRW("Smartco:Compensation",$D$47,"Total",L$8,$E$47,"Budget",$K13)</f>
        <v>398911.52510992641</v>
      </c>
      <c r="M13" s="34">
        <f ca="1">_xll.DBRW("Smartco:Compensation",$D$47,"Total",M$8,$E$47,"Budget",$K13)</f>
        <v>390871.39564122597</v>
      </c>
      <c r="N13" s="34">
        <f ca="1">_xll.DBRW("Smartco:Compensation",$D$47,"Total",N$8,$E$47,"Budget",$K13)</f>
        <v>399100.29525801365</v>
      </c>
      <c r="O13" s="34">
        <f ca="1">_xll.DBRW("Smartco:Compensation",$D$47,"Total",O$8,$E$47,"Budget",$K13)</f>
        <v>401952.30875647976</v>
      </c>
      <c r="P13" s="34">
        <f ca="1">_xll.DBRW("Smartco:Compensation",$D$47,"Total",P$8,$E$47,"Budget",$K13)</f>
        <v>403751.3628148947</v>
      </c>
      <c r="Q13" s="34">
        <f ca="1">_xll.DBRW("Smartco:Compensation",$D$47,"Total",Q$8,$E$47,"Budget",$K13)</f>
        <v>406014.96161442756</v>
      </c>
      <c r="R13" s="34">
        <f ca="1">_xll.DBRW("Smartco:Compensation",$D$47,"Total",R$8,$E$47,"Budget",$K13)</f>
        <v>409206.8192526733</v>
      </c>
      <c r="S13" s="34">
        <f ca="1">_xll.DBRW("Smartco:Compensation",$D$47,"Total",S$8,$E$47,"Budget",$K13)</f>
        <v>409206.8192526733</v>
      </c>
      <c r="T13" s="34">
        <f ca="1">_xll.DBRW("Smartco:Compensation",$D$47,"Total",T$8,$E$47,"Budget",$K13)</f>
        <v>409206.8192526733</v>
      </c>
      <c r="U13" s="34">
        <f ca="1">_xll.DBRW("Smartco:Compensation",$D$47,"Total",U$8,$E$47,"Budget",$K13)</f>
        <v>409206.8192526733</v>
      </c>
      <c r="V13" s="34">
        <f ca="1">_xll.DBRW("Smartco:Compensation",$D$47,"Total",V$8,$E$47,"Budget",$K13)</f>
        <v>409206.8192526733</v>
      </c>
      <c r="W13" s="34">
        <f ca="1">_xll.DBRW("Smartco:Compensation",$D$47,"Total",W$8,$E$47,"Budget",$K13)</f>
        <v>409206.8192526733</v>
      </c>
    </row>
    <row r="14" spans="1:23" hidden="1" x14ac:dyDescent="0.2">
      <c r="B14" s="21" t="s">
        <v>15</v>
      </c>
      <c r="C14" s="19"/>
      <c r="D14" s="19"/>
      <c r="E14" s="19"/>
      <c r="F14" s="19"/>
      <c r="H14" s="19">
        <f ca="1">_xll.DBRW($B$1,$B$3,$B$4,$B$2,$B14,H$8,$B$5)</f>
        <v>3136466.1415891619</v>
      </c>
      <c r="K14" s="16" t="s">
        <v>52</v>
      </c>
      <c r="L14" s="34">
        <f ca="1">_xll.DBRW("Smartco:Compensation",$D$47,"Total",L$8,$E$47,"Budget",$K14)</f>
        <v>11967.345753297794</v>
      </c>
      <c r="M14" s="34">
        <f ca="1">_xll.DBRW("Smartco:Compensation",$D$47,"Total",M$8,$E$47,"Budget",$K14)</f>
        <v>11726.141869236779</v>
      </c>
      <c r="N14" s="34">
        <f ca="1">_xll.DBRW("Smartco:Compensation",$D$47,"Total",N$8,$E$47,"Budget",$K14)</f>
        <v>11973.008857740409</v>
      </c>
      <c r="O14" s="34">
        <f ca="1">_xll.DBRW("Smartco:Compensation",$D$47,"Total",O$8,$E$47,"Budget",$K14)</f>
        <v>12058.569262694393</v>
      </c>
      <c r="P14" s="34">
        <f ca="1">_xll.DBRW("Smartco:Compensation",$D$47,"Total",P$8,$E$47,"Budget",$K14)</f>
        <v>12112.540884446842</v>
      </c>
      <c r="Q14" s="34">
        <f ca="1">_xll.DBRW("Smartco:Compensation",$D$47,"Total",Q$8,$E$47,"Budget",$K14)</f>
        <v>12180.448848432827</v>
      </c>
      <c r="R14" s="34">
        <f ca="1">_xll.DBRW("Smartco:Compensation",$D$47,"Total",R$8,$E$47,"Budget",$K14)</f>
        <v>12276.204577580198</v>
      </c>
      <c r="S14" s="34">
        <f ca="1">_xll.DBRW("Smartco:Compensation",$D$47,"Total",S$8,$E$47,"Budget",$K14)</f>
        <v>12276.204577580198</v>
      </c>
      <c r="T14" s="34">
        <f ca="1">_xll.DBRW("Smartco:Compensation",$D$47,"Total",T$8,$E$47,"Budget",$K14)</f>
        <v>12276.204577580198</v>
      </c>
      <c r="U14" s="34">
        <f ca="1">_xll.DBRW("Smartco:Compensation",$D$47,"Total",U$8,$E$47,"Budget",$K14)</f>
        <v>12276.204577580198</v>
      </c>
      <c r="V14" s="34">
        <f ca="1">_xll.DBRW("Smartco:Compensation",$D$47,"Total",V$8,$E$47,"Budget",$K14)</f>
        <v>12276.204577580198</v>
      </c>
      <c r="W14" s="34">
        <f ca="1">_xll.DBRW("Smartco:Compensation",$D$47,"Total",W$8,$E$47,"Budget",$K14)</f>
        <v>12276.204577580198</v>
      </c>
    </row>
    <row r="15" spans="1:23" hidden="1" x14ac:dyDescent="0.2">
      <c r="B15" s="21" t="s">
        <v>16</v>
      </c>
      <c r="C15" s="19"/>
      <c r="D15" s="19"/>
      <c r="E15" s="19"/>
      <c r="F15" s="19"/>
      <c r="H15" s="19">
        <f ca="1">_xll.DBRW($B$1,$B$3,$B$4,$B$2,$B15,H$8,$B$5)</f>
        <v>3195891.4581751707</v>
      </c>
      <c r="K15" s="16" t="s">
        <v>53</v>
      </c>
      <c r="L15" s="34">
        <f ca="1">_xll.DBRW("Smartco:Compensation",$D$47,"Total",L$8,$E$47,"Budget",$K15)</f>
        <v>11100</v>
      </c>
      <c r="M15" s="34">
        <f ca="1">_xll.DBRW("Smartco:Compensation",$D$47,"Total",M$8,$E$47,"Budget",$K15)</f>
        <v>10850</v>
      </c>
      <c r="N15" s="34">
        <f ca="1">_xll.DBRW("Smartco:Compensation",$D$47,"Total",N$8,$E$47,"Budget",$K15)</f>
        <v>11100</v>
      </c>
      <c r="O15" s="34">
        <f ca="1">_xll.DBRW("Smartco:Compensation",$D$47,"Total",O$8,$E$47,"Budget",$K15)</f>
        <v>11100</v>
      </c>
      <c r="P15" s="34">
        <f ca="1">_xll.DBRW("Smartco:Compensation",$D$47,"Total",P$8,$E$47,"Budget",$K15)</f>
        <v>11100</v>
      </c>
      <c r="Q15" s="34">
        <f ca="1">_xll.DBRW("Smartco:Compensation",$D$47,"Total",Q$8,$E$47,"Budget",$K15)</f>
        <v>11100</v>
      </c>
      <c r="R15" s="34">
        <f ca="1">_xll.DBRW("Smartco:Compensation",$D$47,"Total",R$8,$E$47,"Budget",$K15)</f>
        <v>11100</v>
      </c>
      <c r="S15" s="34">
        <f ca="1">_xll.DBRW("Smartco:Compensation",$D$47,"Total",S$8,$E$47,"Budget",$K15)</f>
        <v>11100</v>
      </c>
      <c r="T15" s="34">
        <f ca="1">_xll.DBRW("Smartco:Compensation",$D$47,"Total",T$8,$E$47,"Budget",$K15)</f>
        <v>11100</v>
      </c>
      <c r="U15" s="34">
        <f ca="1">_xll.DBRW("Smartco:Compensation",$D$47,"Total",U$8,$E$47,"Budget",$K15)</f>
        <v>11100</v>
      </c>
      <c r="V15" s="34">
        <f ca="1">_xll.DBRW("Smartco:Compensation",$D$47,"Total",V$8,$E$47,"Budget",$K15)</f>
        <v>11100</v>
      </c>
      <c r="W15" s="34">
        <f ca="1">_xll.DBRW("Smartco:Compensation",$D$47,"Total",W$8,$E$47,"Budget",$K15)</f>
        <v>11100</v>
      </c>
    </row>
    <row r="16" spans="1:23" hidden="1" x14ac:dyDescent="0.2">
      <c r="B16" s="21" t="s">
        <v>17</v>
      </c>
      <c r="C16" s="19"/>
      <c r="D16" s="19"/>
      <c r="E16" s="19"/>
      <c r="F16" s="19"/>
      <c r="H16" s="19">
        <f ca="1">_xll.DBRW($B$1,$B$3,$B$4,$B$2,$B16,H$8,$B$5)</f>
        <v>3174446.9057898317</v>
      </c>
      <c r="K16" s="16" t="s">
        <v>54</v>
      </c>
      <c r="L16" s="34">
        <f ca="1">_xll.DBRW("Smartco:Compensation",$D$47,"Total",L$8,$E$47,"Budget",$K16)</f>
        <v>47869.383013191175</v>
      </c>
      <c r="M16" s="34">
        <f ca="1">_xll.DBRW("Smartco:Compensation",$D$47,"Total",M$8,$E$47,"Budget",$K16)</f>
        <v>46904.567476947115</v>
      </c>
      <c r="N16" s="34">
        <f ca="1">_xll.DBRW("Smartco:Compensation",$D$47,"Total",N$8,$E$47,"Budget",$K16)</f>
        <v>47892.035430961638</v>
      </c>
      <c r="O16" s="34">
        <f ca="1">_xll.DBRW("Smartco:Compensation",$D$47,"Total",O$8,$E$47,"Budget",$K16)</f>
        <v>48234.277050777571</v>
      </c>
      <c r="P16" s="34">
        <f ca="1">_xll.DBRW("Smartco:Compensation",$D$47,"Total",P$8,$E$47,"Budget",$K16)</f>
        <v>48450.163537787368</v>
      </c>
      <c r="Q16" s="34">
        <f ca="1">_xll.DBRW("Smartco:Compensation",$D$47,"Total",Q$8,$E$47,"Budget",$K16)</f>
        <v>48721.795393731307</v>
      </c>
      <c r="R16" s="34">
        <f ca="1">_xll.DBRW("Smartco:Compensation",$D$47,"Total",R$8,$E$47,"Budget",$K16)</f>
        <v>49104.818310320792</v>
      </c>
      <c r="S16" s="34">
        <f ca="1">_xll.DBRW("Smartco:Compensation",$D$47,"Total",S$8,$E$47,"Budget",$K16)</f>
        <v>49104.818310320792</v>
      </c>
      <c r="T16" s="34">
        <f ca="1">_xll.DBRW("Smartco:Compensation",$D$47,"Total",T$8,$E$47,"Budget",$K16)</f>
        <v>49104.818310320792</v>
      </c>
      <c r="U16" s="34">
        <f ca="1">_xll.DBRW("Smartco:Compensation",$D$47,"Total",U$8,$E$47,"Budget",$K16)</f>
        <v>49104.818310320792</v>
      </c>
      <c r="V16" s="34">
        <f ca="1">_xll.DBRW("Smartco:Compensation",$D$47,"Total",V$8,$E$47,"Budget",$K16)</f>
        <v>49104.818310320792</v>
      </c>
      <c r="W16" s="34">
        <f ca="1">_xll.DBRW("Smartco:Compensation",$D$47,"Total",W$8,$E$47,"Budget",$K16)</f>
        <v>49104.818310320792</v>
      </c>
    </row>
    <row r="17" spans="2:36" hidden="1" x14ac:dyDescent="0.2">
      <c r="B17" s="21" t="s">
        <v>18</v>
      </c>
      <c r="C17" s="19"/>
      <c r="D17" s="19"/>
      <c r="E17" s="19"/>
      <c r="F17" s="19"/>
      <c r="H17" s="19">
        <f ca="1">_xll.DBRW($B$1,$B$3,$B$4,$B$2,$B17,H$8,$B$5)</f>
        <v>3019245.2738419082</v>
      </c>
      <c r="K17" s="16" t="s">
        <v>55</v>
      </c>
      <c r="L17" s="34">
        <f ca="1">_xll.DBRW("Smartco:Compensation",$D$47,"Total",L$8,$E$47,"Budget",$K17)</f>
        <v>25474.489993519903</v>
      </c>
      <c r="M17" s="34">
        <f ca="1">_xll.DBRW("Smartco:Compensation",$D$47,"Total",M$8,$E$47,"Budget",$K17)</f>
        <v>24961.047325648691</v>
      </c>
      <c r="N17" s="34">
        <f ca="1">_xll.DBRW("Smartco:Compensation",$D$47,"Total",N$8,$E$47,"Budget",$K17)</f>
        <v>25486.544855176755</v>
      </c>
      <c r="O17" s="34">
        <f ca="1">_xll.DBRW("Smartco:Compensation",$D$47,"Total",O$8,$E$47,"Budget",$K17)</f>
        <v>25668.674437188802</v>
      </c>
      <c r="P17" s="34">
        <f ca="1">_xll.DBRW("Smartco:Compensation",$D$47,"Total",P$8,$E$47,"Budget",$K17)</f>
        <v>25783.562029359178</v>
      </c>
      <c r="Q17" s="34">
        <f ca="1">_xll.DBRW("Smartco:Compensation",$D$47,"Total",Q$8,$E$47,"Budget",$K17)</f>
        <v>25928.115448697346</v>
      </c>
      <c r="R17" s="34">
        <f ca="1">_xll.DBRW("Smartco:Compensation",$D$47,"Total",R$8,$E$47,"Budget",$K17)</f>
        <v>26131.947477475722</v>
      </c>
      <c r="S17" s="34">
        <f ca="1">_xll.DBRW("Smartco:Compensation",$D$47,"Total",S$8,$E$47,"Budget",$K17)</f>
        <v>26131.947477475722</v>
      </c>
      <c r="T17" s="34">
        <f ca="1">_xll.DBRW("Smartco:Compensation",$D$47,"Total",T$8,$E$47,"Budget",$K17)</f>
        <v>26131.947477475722</v>
      </c>
      <c r="U17" s="34">
        <f ca="1">_xll.DBRW("Smartco:Compensation",$D$47,"Total",U$8,$E$47,"Budget",$K17)</f>
        <v>26001.416810809049</v>
      </c>
      <c r="V17" s="34">
        <f ca="1">_xll.DBRW("Smartco:Compensation",$D$47,"Total",V$8,$E$47,"Budget",$K17)</f>
        <v>22903.255400461938</v>
      </c>
      <c r="W17" s="34">
        <f ca="1">_xll.DBRW("Smartco:Compensation",$D$47,"Total",W$8,$E$47,"Budget",$K17)</f>
        <v>11259.656380300967</v>
      </c>
    </row>
    <row r="18" spans="2:36" hidden="1" x14ac:dyDescent="0.2">
      <c r="B18" s="21" t="s">
        <v>19</v>
      </c>
      <c r="C18" s="19"/>
      <c r="D18" s="19"/>
      <c r="E18" s="19"/>
      <c r="F18" s="19"/>
      <c r="H18" s="19">
        <f ca="1">_xll.DBRW($B$1,$B$3,$B$4,$B$2,$B18,H$8,$B$5)</f>
        <v>3167361.1687281164</v>
      </c>
      <c r="K18" s="16" t="s">
        <v>56</v>
      </c>
      <c r="L18" s="34">
        <f ca="1">_xll.DBRW("Smartco:Compensation",$D$47,"Total",L$8,$E$47,"Budget",$K18)</f>
        <v>5824.108266604926</v>
      </c>
      <c r="M18" s="34">
        <f ca="1">_xll.DBRW("Smartco:Compensation",$D$47,"Total",M$8,$E$47,"Budget",$K18)</f>
        <v>5706.7223763618986</v>
      </c>
      <c r="N18" s="34">
        <f ca="1">_xll.DBRW("Smartco:Compensation",$D$47,"Total",N$8,$E$47,"Budget",$K18)</f>
        <v>5826.8643107669996</v>
      </c>
      <c r="O18" s="34">
        <f ca="1">_xll.DBRW("Smartco:Compensation",$D$47,"Total",O$8,$E$47,"Budget",$K18)</f>
        <v>5868.5037078446039</v>
      </c>
      <c r="P18" s="34">
        <f ca="1">_xll.DBRW("Smartco:Compensation",$D$47,"Total",P$8,$E$47,"Budget",$K18)</f>
        <v>5894.7698970974634</v>
      </c>
      <c r="Q18" s="34">
        <f ca="1">_xll.DBRW("Smartco:Compensation",$D$47,"Total",Q$8,$E$47,"Budget",$K18)</f>
        <v>5927.8184395706412</v>
      </c>
      <c r="R18" s="34">
        <f ca="1">_xll.DBRW("Smartco:Compensation",$D$47,"Total",R$8,$E$47,"Budget",$K18)</f>
        <v>5974.4195610890292</v>
      </c>
      <c r="S18" s="34">
        <f ca="1">_xll.DBRW("Smartco:Compensation",$D$47,"Total",S$8,$E$47,"Budget",$K18)</f>
        <v>5974.4195610890292</v>
      </c>
      <c r="T18" s="34">
        <f ca="1">_xll.DBRW("Smartco:Compensation",$D$47,"Total",T$8,$E$47,"Budget",$K18)</f>
        <v>5974.4195610890292</v>
      </c>
      <c r="U18" s="34">
        <f ca="1">_xll.DBRW("Smartco:Compensation",$D$47,"Total",U$8,$E$47,"Budget",$K18)</f>
        <v>5974.4195610890292</v>
      </c>
      <c r="V18" s="34">
        <f ca="1">_xll.DBRW("Smartco:Compensation",$D$47,"Total",V$8,$E$47,"Budget",$K18)</f>
        <v>5974.4195610890292</v>
      </c>
      <c r="W18" s="34">
        <f ca="1">_xll.DBRW("Smartco:Compensation",$D$47,"Total",W$8,$E$47,"Budget",$K18)</f>
        <v>5974.4195610890292</v>
      </c>
    </row>
    <row r="19" spans="2:36" hidden="1" x14ac:dyDescent="0.2">
      <c r="B19" s="21" t="s">
        <v>20</v>
      </c>
      <c r="C19" s="19"/>
      <c r="D19" s="19"/>
      <c r="E19" s="19"/>
      <c r="F19" s="19"/>
      <c r="H19" s="19">
        <f ca="1">_xll.DBRW($B$1,$B$3,$B$4,$B$2,$B19,H$8,$B$5)</f>
        <v>3368802.4872237723</v>
      </c>
      <c r="K19" s="16" t="s">
        <v>57</v>
      </c>
      <c r="L19" s="34">
        <f ca="1">_xll.DBRW("Smartco:Compensation",$D$47,"Total",L$8,$E$47,"Budget",$K19)</f>
        <v>501146.85213654023</v>
      </c>
      <c r="M19" s="34">
        <f ca="1">_xll.DBRW("Smartco:Compensation",$D$47,"Total",M$8,$E$47,"Budget",$K19)</f>
        <v>491019.87468942045</v>
      </c>
      <c r="N19" s="34">
        <f ca="1">_xll.DBRW("Smartco:Compensation",$D$47,"Total",N$8,$E$47,"Budget",$K19)</f>
        <v>501378.74871265952</v>
      </c>
      <c r="O19" s="34">
        <f ca="1">_xll.DBRW("Smartco:Compensation",$D$47,"Total",O$8,$E$47,"Budget",$K19)</f>
        <v>504882.33321498515</v>
      </c>
      <c r="P19" s="34">
        <f ca="1">_xll.DBRW("Smartco:Compensation",$D$47,"Total",P$8,$E$47,"Budget",$K19)</f>
        <v>507092.39916358562</v>
      </c>
      <c r="Q19" s="34">
        <f ca="1">_xll.DBRW("Smartco:Compensation",$D$47,"Total",Q$8,$E$47,"Budget",$K19)</f>
        <v>509873.13974485971</v>
      </c>
      <c r="R19" s="34">
        <f ca="1">_xll.DBRW("Smartco:Compensation",$D$47,"Total",R$8,$E$47,"Budget",$K19)</f>
        <v>513794.20917913906</v>
      </c>
      <c r="S19" s="34">
        <f ca="1">_xll.DBRW("Smartco:Compensation",$D$47,"Total",S$8,$E$47,"Budget",$K19)</f>
        <v>513794.20917913906</v>
      </c>
      <c r="T19" s="34">
        <f ca="1">_xll.DBRW("Smartco:Compensation",$D$47,"Total",T$8,$E$47,"Budget",$K19)</f>
        <v>513794.20917913906</v>
      </c>
      <c r="U19" s="34">
        <f ca="1">_xll.DBRW("Smartco:Compensation",$D$47,"Total",U$8,$E$47,"Budget",$K19)</f>
        <v>513663.67851247237</v>
      </c>
      <c r="V19" s="34">
        <f ca="1">_xll.DBRW("Smartco:Compensation",$D$47,"Total",V$8,$E$47,"Budget",$K19)</f>
        <v>510565.51710212522</v>
      </c>
      <c r="W19" s="34">
        <f ca="1">_xll.DBRW("Smartco:Compensation",$D$47,"Total",W$8,$E$47,"Budget",$K19)</f>
        <v>498921.91808196425</v>
      </c>
    </row>
    <row r="20" spans="2:36" hidden="1" x14ac:dyDescent="0.2">
      <c r="B20" s="21" t="s">
        <v>21</v>
      </c>
      <c r="C20" s="19"/>
      <c r="D20" s="19"/>
      <c r="E20" s="19"/>
      <c r="F20" s="19"/>
      <c r="H20" s="19">
        <f ca="1">_xll.DBRW($B$1,$B$3,$B$4,$B$2,$B20,H$8,$B$5)</f>
        <v>3504495.049264709</v>
      </c>
      <c r="K20" s="16" t="s">
        <v>58</v>
      </c>
      <c r="L20" s="34">
        <f ca="1">_xll.DBRW("Smartco:Compensation",$D$47,"Total",L$8,$E$47,"Budget",$K20)</f>
        <v>44.4</v>
      </c>
      <c r="M20" s="34">
        <f ca="1">_xll.DBRW("Smartco:Compensation",$D$47,"Total",M$8,$E$47,"Budget",$K20)</f>
        <v>43.4</v>
      </c>
      <c r="N20" s="34">
        <f ca="1">_xll.DBRW("Smartco:Compensation",$D$47,"Total",N$8,$E$47,"Budget",$K20)</f>
        <v>44.4</v>
      </c>
      <c r="O20" s="34">
        <f ca="1">_xll.DBRW("Smartco:Compensation",$D$47,"Total",O$8,$E$47,"Budget",$K20)</f>
        <v>44.4</v>
      </c>
      <c r="P20" s="34">
        <f ca="1">_xll.DBRW("Smartco:Compensation",$D$47,"Total",P$8,$E$47,"Budget",$K20)</f>
        <v>44.4</v>
      </c>
      <c r="Q20" s="34">
        <f ca="1">_xll.DBRW("Smartco:Compensation",$D$47,"Total",Q$8,$E$47,"Budget",$K20)</f>
        <v>44.4</v>
      </c>
      <c r="R20" s="34">
        <f ca="1">_xll.DBRW("Smartco:Compensation",$D$47,"Total",R$8,$E$47,"Budget",$K20)</f>
        <v>44.4</v>
      </c>
      <c r="S20" s="34">
        <f ca="1">_xll.DBRW("Smartco:Compensation",$D$47,"Total",S$8,$E$47,"Budget",$K20)</f>
        <v>44.4</v>
      </c>
      <c r="T20" s="34">
        <f ca="1">_xll.DBRW("Smartco:Compensation",$D$47,"Total",T$8,$E$47,"Budget",$K20)</f>
        <v>44.4</v>
      </c>
      <c r="U20" s="34">
        <f ca="1">_xll.DBRW("Smartco:Compensation",$D$47,"Total",U$8,$E$47,"Budget",$K20)</f>
        <v>44.4</v>
      </c>
      <c r="V20" s="34">
        <f ca="1">_xll.DBRW("Smartco:Compensation",$D$47,"Total",V$8,$E$47,"Budget",$K20)</f>
        <v>44.4</v>
      </c>
      <c r="W20" s="34">
        <f ca="1">_xll.DBRW("Smartco:Compensation",$D$47,"Total",W$8,$E$47,"Budget",$K20)</f>
        <v>44.4</v>
      </c>
    </row>
    <row r="21" spans="2:36" hidden="1" x14ac:dyDescent="0.2">
      <c r="B21" s="21" t="s">
        <v>1</v>
      </c>
      <c r="H21" s="19">
        <f ca="1">_xll.DBRW($B$1,$B$3,$B$4,$B$2,$B21,H$8,$B$5)</f>
        <v>38471890.472009659</v>
      </c>
    </row>
    <row r="22" spans="2:36" hidden="1" x14ac:dyDescent="0.2">
      <c r="Y22" s="31" t="s">
        <v>46</v>
      </c>
    </row>
    <row r="23" spans="2:36" ht="19.5" hidden="1" x14ac:dyDescent="0.25">
      <c r="K23" s="24"/>
      <c r="L23" s="25" t="s">
        <v>10</v>
      </c>
      <c r="M23" s="25" t="s">
        <v>11</v>
      </c>
      <c r="N23" s="25" t="s">
        <v>12</v>
      </c>
      <c r="O23" s="25" t="s">
        <v>13</v>
      </c>
      <c r="P23" s="25" t="s">
        <v>14</v>
      </c>
      <c r="Q23" s="25" t="s">
        <v>15</v>
      </c>
      <c r="R23" s="25" t="s">
        <v>16</v>
      </c>
      <c r="S23" s="25" t="s">
        <v>17</v>
      </c>
      <c r="T23" s="25" t="s">
        <v>18</v>
      </c>
      <c r="U23" s="25" t="s">
        <v>19</v>
      </c>
      <c r="V23" s="25" t="s">
        <v>20</v>
      </c>
      <c r="W23" s="25" t="s">
        <v>21</v>
      </c>
      <c r="Y23" s="32" t="s">
        <v>48</v>
      </c>
      <c r="Z23" s="31" t="s">
        <v>47</v>
      </c>
      <c r="AA23" s="31" t="s">
        <v>46</v>
      </c>
    </row>
    <row r="24" spans="2:36" hidden="1" x14ac:dyDescent="0.2">
      <c r="K24" s="26" t="s">
        <v>5</v>
      </c>
      <c r="L24" s="27">
        <f ca="1">_xll.DBRW("Smartco:Metrics",$K24,$D$47,$E$47,L$23,"Variance Percent")</f>
        <v>-0.1422856802595637</v>
      </c>
      <c r="M24" s="27">
        <f ca="1">_xll.DBRW("Smartco:Metrics",$K24,$D$47,$E$47,M$23,"Variance Percent")</f>
        <v>-0.10351835665463417</v>
      </c>
      <c r="N24" s="27">
        <f ca="1">_xll.DBRW("Smartco:Metrics",$K24,$D$47,$E$47,N$23,"Variance Percent")</f>
        <v>-7.7552870783165695E-2</v>
      </c>
      <c r="O24" s="27">
        <f ca="1">_xll.DBRW("Smartco:Metrics",$K24,$D$47,$E$47,O$23,"Variance Percent")</f>
        <v>-3.4032032709324048E-2</v>
      </c>
      <c r="P24" s="27">
        <f ca="1">_xll.DBRW("Smartco:Metrics",$K24,$D$47,$E$47,P$23,"Variance Percent")</f>
        <v>-6.1557690104559484E-2</v>
      </c>
      <c r="Q24" s="27">
        <f ca="1">_xll.DBRW("Smartco:Metrics",$K24,$D$47,$E$47,Q$23,"Variance Percent")</f>
        <v>-7.8780268240007487E-2</v>
      </c>
      <c r="R24" s="27">
        <f ca="1">_xll.DBRW("Smartco:Metrics",$K24,$D$47,$E$47,R$23,"Variance Percent")</f>
        <v>-0.10556119510399248</v>
      </c>
      <c r="S24" s="27">
        <f ca="1">_xll.DBRW("Smartco:Metrics",$K24,$D$47,$E$47,S$23,"Variance Percent")</f>
        <v>-0.10777250677278361</v>
      </c>
      <c r="T24" s="27">
        <f ca="1">_xll.DBRW("Smartco:Metrics",$K24,$D$47,$E$47,T$23,"Variance Percent")</f>
        <v>-0.12031083164054436</v>
      </c>
      <c r="U24" s="27">
        <f ca="1">_xll.DBRW("Smartco:Metrics",$K24,$D$47,$E$47,U$23,"Variance Percent")</f>
        <v>-0.1325561641123755</v>
      </c>
      <c r="V24" s="27">
        <f ca="1">_xll.DBRW("Smartco:Metrics",$K24,$D$47,$E$47,V$23,"Variance Percent")</f>
        <v>-0.10140608973336659</v>
      </c>
      <c r="W24" s="27">
        <f ca="1">_xll.DBRW("Smartco:Metrics",$K24,$D$47,$E$47,W$23,"Variance Percent")</f>
        <v>-4.4008485842493957E-2</v>
      </c>
      <c r="Y24" s="17" t="str">
        <f ca="1">IF(L24&lt;0,$Z$23,IF(L24=0,$Y$23,IF(L24&gt;0,$AA$23,"")))</f>
        <v>▼</v>
      </c>
      <c r="Z24" s="17" t="str">
        <f t="shared" ref="Z24:AJ24" ca="1" si="0">IF(M24&lt;0,$Z$23,IF(M24=0,$Y$23,IF(M24&gt;0,$AA$23,"")))</f>
        <v>▼</v>
      </c>
      <c r="AA24" s="17" t="str">
        <f t="shared" ca="1" si="0"/>
        <v>▼</v>
      </c>
      <c r="AB24" s="17" t="str">
        <f t="shared" ca="1" si="0"/>
        <v>▼</v>
      </c>
      <c r="AC24" s="17" t="str">
        <f t="shared" ca="1" si="0"/>
        <v>▼</v>
      </c>
      <c r="AD24" s="17" t="str">
        <f t="shared" ca="1" si="0"/>
        <v>▼</v>
      </c>
      <c r="AE24" s="17" t="str">
        <f t="shared" ca="1" si="0"/>
        <v>▼</v>
      </c>
      <c r="AF24" s="17" t="str">
        <f t="shared" ca="1" si="0"/>
        <v>▼</v>
      </c>
      <c r="AG24" s="17" t="str">
        <f t="shared" ca="1" si="0"/>
        <v>▼</v>
      </c>
      <c r="AH24" s="17" t="str">
        <f t="shared" ca="1" si="0"/>
        <v>▼</v>
      </c>
      <c r="AI24" s="17" t="str">
        <f t="shared" ca="1" si="0"/>
        <v>▼</v>
      </c>
      <c r="AJ24" s="17" t="str">
        <f t="shared" ca="1" si="0"/>
        <v>▼</v>
      </c>
    </row>
    <row r="25" spans="2:36" hidden="1" x14ac:dyDescent="0.2">
      <c r="K25" s="26" t="s">
        <v>6</v>
      </c>
      <c r="L25" s="27">
        <f ca="1">_xll.DBRW("Smartco:Metrics",$K25,$D$47,$E$47,L$23,"Variance Percent")</f>
        <v>-0.12033191234640488</v>
      </c>
      <c r="M25" s="27">
        <f ca="1">_xll.DBRW("Smartco:Metrics",$K25,$D$47,$E$47,M$23,"Variance Percent")</f>
        <v>-6.8639419777621294E-2</v>
      </c>
      <c r="N25" s="27">
        <f ca="1">_xll.DBRW("Smartco:Metrics",$K25,$D$47,$E$47,N$23,"Variance Percent")</f>
        <v>-2.8517549294144781E-2</v>
      </c>
      <c r="O25" s="27">
        <f ca="1">_xll.DBRW("Smartco:Metrics",$K25,$D$47,$E$47,O$23,"Variance Percent")</f>
        <v>-1.0167142178438193E-3</v>
      </c>
      <c r="P25" s="27">
        <f ca="1">_xll.DBRW("Smartco:Metrics",$K25,$D$47,$E$47,P$23,"Variance Percent")</f>
        <v>-2.1876053323788107E-2</v>
      </c>
      <c r="Q25" s="27">
        <f ca="1">_xll.DBRW("Smartco:Metrics",$K25,$D$47,$E$47,Q$23,"Variance Percent")</f>
        <v>-4.2728929251684526E-2</v>
      </c>
      <c r="R25" s="27">
        <f ca="1">_xll.DBRW("Smartco:Metrics",$K25,$D$47,$E$47,R$23,"Variance Percent")</f>
        <v>-7.4679422328246009E-2</v>
      </c>
      <c r="S25" s="27">
        <f ca="1">_xll.DBRW("Smartco:Metrics",$K25,$D$47,$E$47,S$23,"Variance Percent")</f>
        <v>-8.1052162662078001E-2</v>
      </c>
      <c r="T25" s="27">
        <f ca="1">_xll.DBRW("Smartco:Metrics",$K25,$D$47,$E$47,T$23,"Variance Percent")</f>
        <v>-9.7287708425536093E-2</v>
      </c>
      <c r="U25" s="27">
        <f ca="1">_xll.DBRW("Smartco:Metrics",$K25,$D$47,$E$47,U$23,"Variance Percent")</f>
        <v>-0.14311350807600925</v>
      </c>
      <c r="V25" s="27">
        <f ca="1">_xll.DBRW("Smartco:Metrics",$K25,$D$47,$E$47,V$23,"Variance Percent")</f>
        <v>-0.13093023246246854</v>
      </c>
      <c r="W25" s="27">
        <f ca="1">_xll.DBRW("Smartco:Metrics",$K25,$D$47,$E$47,W$23,"Variance Percent")</f>
        <v>-8.4688585715684328E-2</v>
      </c>
      <c r="Y25" s="17" t="str">
        <f t="shared" ref="Y25:Y36" ca="1" si="1">IF(L25&lt;0,$Z$23,IF(L25=0,$Y$23,IF(L25&gt;0,$AA$23,"")))</f>
        <v>▼</v>
      </c>
      <c r="Z25" s="17" t="str">
        <f t="shared" ref="Z25:Z36" ca="1" si="2">IF(M25&lt;0,$Z$23,IF(M25=0,$Y$23,IF(M25&gt;0,$AA$23,"")))</f>
        <v>▼</v>
      </c>
      <c r="AA25" s="17" t="str">
        <f t="shared" ref="AA25:AA36" ca="1" si="3">IF(N25&lt;0,$Z$23,IF(N25=0,$Y$23,IF(N25&gt;0,$AA$23,"")))</f>
        <v>▼</v>
      </c>
      <c r="AB25" s="17" t="str">
        <f t="shared" ref="AB25:AB36" ca="1" si="4">IF(O25&lt;0,$Z$23,IF(O25=0,$Y$23,IF(O25&gt;0,$AA$23,"")))</f>
        <v>▼</v>
      </c>
      <c r="AC25" s="17" t="str">
        <f t="shared" ref="AC25:AC36" ca="1" si="5">IF(P25&lt;0,$Z$23,IF(P25=0,$Y$23,IF(P25&gt;0,$AA$23,"")))</f>
        <v>▼</v>
      </c>
      <c r="AD25" s="17" t="str">
        <f t="shared" ref="AD25:AD36" ca="1" si="6">IF(Q25&lt;0,$Z$23,IF(Q25=0,$Y$23,IF(Q25&gt;0,$AA$23,"")))</f>
        <v>▼</v>
      </c>
      <c r="AE25" s="17" t="str">
        <f t="shared" ref="AE25:AE36" ca="1" si="7">IF(R25&lt;0,$Z$23,IF(R25=0,$Y$23,IF(R25&gt;0,$AA$23,"")))</f>
        <v>▼</v>
      </c>
      <c r="AF25" s="17" t="str">
        <f t="shared" ref="AF25:AF36" ca="1" si="8">IF(S25&lt;0,$Z$23,IF(S25=0,$Y$23,IF(S25&gt;0,$AA$23,"")))</f>
        <v>▼</v>
      </c>
      <c r="AG25" s="17" t="str">
        <f t="shared" ref="AG25:AG36" ca="1" si="9">IF(T25&lt;0,$Z$23,IF(T25=0,$Y$23,IF(T25&gt;0,$AA$23,"")))</f>
        <v>▼</v>
      </c>
      <c r="AH25" s="17" t="str">
        <f t="shared" ref="AH25:AH36" ca="1" si="10">IF(U25&lt;0,$Z$23,IF(U25=0,$Y$23,IF(U25&gt;0,$AA$23,"")))</f>
        <v>▼</v>
      </c>
      <c r="AI25" s="17" t="str">
        <f t="shared" ref="AI25:AI36" ca="1" si="11">IF(V25&lt;0,$Z$23,IF(V25=0,$Y$23,IF(V25&gt;0,$AA$23,"")))</f>
        <v>▼</v>
      </c>
      <c r="AJ25" s="17" t="str">
        <f t="shared" ref="AJ25:AJ36" ca="1" si="12">IF(W25&lt;0,$Z$23,IF(W25=0,$Y$23,IF(W25&gt;0,$AA$23,"")))</f>
        <v>▼</v>
      </c>
    </row>
    <row r="26" spans="2:36" hidden="1" x14ac:dyDescent="0.2">
      <c r="K26" s="28" t="s">
        <v>7</v>
      </c>
      <c r="L26" s="27">
        <f ca="1">_xll.DBRW("Smartco:Metrics",$K26,$D$47,$E$47,L$23,"Variance Percent")</f>
        <v>-0.16820606851433476</v>
      </c>
      <c r="M26" s="27">
        <f ca="1">_xll.DBRW("Smartco:Metrics",$K26,$D$47,$E$47,M$23,"Variance Percent")</f>
        <v>-0.14434935874474553</v>
      </c>
      <c r="N26" s="27">
        <f ca="1">_xll.DBRW("Smartco:Metrics",$K26,$D$47,$E$47,N$23,"Variance Percent")</f>
        <v>-0.13377212732871063</v>
      </c>
      <c r="O26" s="27">
        <f ca="1">_xll.DBRW("Smartco:Metrics",$K26,$D$47,$E$47,O$23,"Variance Percent")</f>
        <v>-7.3509910498222975E-2</v>
      </c>
      <c r="P26" s="27">
        <f ca="1">_xll.DBRW("Smartco:Metrics",$K26,$D$47,$E$47,P$23,"Variance Percent")</f>
        <v>-0.10918568693040716</v>
      </c>
      <c r="Q26" s="27">
        <f ca="1">_xll.DBRW("Smartco:Metrics",$K26,$D$47,$E$47,Q$23,"Variance Percent")</f>
        <v>-0.12200286431964312</v>
      </c>
      <c r="R26" s="27">
        <f ca="1">_xll.DBRW("Smartco:Metrics",$K26,$D$47,$E$47,R$23,"Variance Percent")</f>
        <v>-0.14314093891255805</v>
      </c>
      <c r="S26" s="27">
        <f ca="1">_xll.DBRW("Smartco:Metrics",$K26,$D$47,$E$47,S$23,"Variance Percent")</f>
        <v>-0.14187045511632829</v>
      </c>
      <c r="T26" s="27">
        <f ca="1">_xll.DBRW("Smartco:Metrics",$K26,$D$47,$E$47,T$23,"Variance Percent")</f>
        <v>-0.15161198948688079</v>
      </c>
      <c r="U26" s="27">
        <f ca="1">_xll.DBRW("Smartco:Metrics",$K26,$D$47,$E$47,U$23,"Variance Percent")</f>
        <v>-0.11792047419006127</v>
      </c>
      <c r="V26" s="27">
        <f ca="1">_xll.DBRW("Smartco:Metrics",$K26,$D$47,$E$47,V$23,"Variance Percent")</f>
        <v>-6.0161887115210089E-2</v>
      </c>
      <c r="W26" s="27">
        <f ca="1">_xll.DBRW("Smartco:Metrics",$K26,$D$47,$E$47,W$23,"Variance Percent")</f>
        <v>1.2536938999072232E-2</v>
      </c>
      <c r="Y26" s="17" t="str">
        <f t="shared" ca="1" si="1"/>
        <v>▼</v>
      </c>
      <c r="Z26" s="17" t="str">
        <f t="shared" ca="1" si="2"/>
        <v>▼</v>
      </c>
      <c r="AA26" s="17" t="str">
        <f t="shared" ca="1" si="3"/>
        <v>▼</v>
      </c>
      <c r="AB26" s="17" t="str">
        <f t="shared" ca="1" si="4"/>
        <v>▼</v>
      </c>
      <c r="AC26" s="17" t="str">
        <f t="shared" ca="1" si="5"/>
        <v>▼</v>
      </c>
      <c r="AD26" s="17" t="str">
        <f t="shared" ca="1" si="6"/>
        <v>▼</v>
      </c>
      <c r="AE26" s="17" t="str">
        <f t="shared" ca="1" si="7"/>
        <v>▼</v>
      </c>
      <c r="AF26" s="17" t="str">
        <f t="shared" ca="1" si="8"/>
        <v>▼</v>
      </c>
      <c r="AG26" s="17" t="str">
        <f t="shared" ca="1" si="9"/>
        <v>▼</v>
      </c>
      <c r="AH26" s="17" t="str">
        <f t="shared" ca="1" si="10"/>
        <v>▼</v>
      </c>
      <c r="AI26" s="17" t="str">
        <f t="shared" ca="1" si="11"/>
        <v>▼</v>
      </c>
      <c r="AJ26" s="17" t="str">
        <f t="shared" ca="1" si="12"/>
        <v>▲</v>
      </c>
    </row>
    <row r="27" spans="2:36" hidden="1" x14ac:dyDescent="0.2">
      <c r="K27" s="26" t="s">
        <v>38</v>
      </c>
      <c r="L27" s="27">
        <f ca="1">_xll.DBRW("Smartco:Metrics",$K27,$D$47,$E$47,L$23,"Variance Percent")</f>
        <v>0.11477107155381741</v>
      </c>
      <c r="M27" s="27">
        <f ca="1">_xll.DBRW("Smartco:Metrics",$K27,$D$47,$E$47,M$23,"Variance Percent")</f>
        <v>0.16504895374355319</v>
      </c>
      <c r="N27" s="27">
        <f ca="1">_xll.DBRW("Smartco:Metrics",$K27,$D$47,$E$47,N$23,"Variance Percent")</f>
        <v>0.16124339046120578</v>
      </c>
      <c r="O27" s="27">
        <f ca="1">_xll.DBRW("Smartco:Metrics",$K27,$D$47,$E$47,O$23,"Variance Percent")</f>
        <v>0.16130927635782805</v>
      </c>
      <c r="P27" s="27">
        <f ca="1">_xll.DBRW("Smartco:Metrics",$K27,$D$47,$E$47,P$23,"Variance Percent")</f>
        <v>0.16161112786796042</v>
      </c>
      <c r="Q27" s="27">
        <f ca="1">_xll.DBRW("Smartco:Metrics",$K27,$D$47,$E$47,Q$23,"Variance Percent")</f>
        <v>0.16319189479947185</v>
      </c>
      <c r="R27" s="27">
        <f ca="1">_xll.DBRW("Smartco:Metrics",$K27,$D$47,$E$47,R$23,"Variance Percent")</f>
        <v>0.15947538772086237</v>
      </c>
      <c r="S27" s="27">
        <f ca="1">_xll.DBRW("Smartco:Metrics",$K27,$D$47,$E$47,S$23,"Variance Percent")</f>
        <v>0.15947538772086237</v>
      </c>
      <c r="T27" s="27">
        <f ca="1">_xll.DBRW("Smartco:Metrics",$K27,$D$47,$E$47,T$23,"Variance Percent")</f>
        <v>0.15947538772086237</v>
      </c>
      <c r="U27" s="27">
        <f ca="1">_xll.DBRW("Smartco:Metrics",$K27,$D$47,$E$47,U$23,"Variance Percent")</f>
        <v>0.17170537361317723</v>
      </c>
      <c r="V27" s="27">
        <f ca="1">_xll.DBRW("Smartco:Metrics",$K27,$D$47,$E$47,V$23,"Variance Percent")</f>
        <v>0.42450831428089203</v>
      </c>
      <c r="W27" s="27">
        <f ca="1">_xll.DBRW("Smartco:Metrics",$K27,$D$47,$E$47,W$23,"Variance Percent")</f>
        <v>0.62663005902119073</v>
      </c>
      <c r="Y27" s="17" t="str">
        <f t="shared" ca="1" si="1"/>
        <v>▲</v>
      </c>
      <c r="Z27" s="17" t="str">
        <f t="shared" ca="1" si="2"/>
        <v>▲</v>
      </c>
      <c r="AA27" s="17" t="str">
        <f t="shared" ca="1" si="3"/>
        <v>▲</v>
      </c>
      <c r="AB27" s="17" t="str">
        <f t="shared" ca="1" si="4"/>
        <v>▲</v>
      </c>
      <c r="AC27" s="17" t="str">
        <f t="shared" ca="1" si="5"/>
        <v>▲</v>
      </c>
      <c r="AD27" s="17" t="str">
        <f t="shared" ca="1" si="6"/>
        <v>▲</v>
      </c>
      <c r="AE27" s="17" t="str">
        <f t="shared" ca="1" si="7"/>
        <v>▲</v>
      </c>
      <c r="AF27" s="17" t="str">
        <f t="shared" ca="1" si="8"/>
        <v>▲</v>
      </c>
      <c r="AG27" s="17" t="str">
        <f t="shared" ca="1" si="9"/>
        <v>▲</v>
      </c>
      <c r="AH27" s="17" t="str">
        <f t="shared" ca="1" si="10"/>
        <v>▲</v>
      </c>
      <c r="AI27" s="17" t="str">
        <f t="shared" ca="1" si="11"/>
        <v>▲</v>
      </c>
      <c r="AJ27" s="17" t="str">
        <f t="shared" ca="1" si="12"/>
        <v>▲</v>
      </c>
    </row>
    <row r="28" spans="2:36" hidden="1" x14ac:dyDescent="0.2">
      <c r="K28" s="26" t="s">
        <v>39</v>
      </c>
      <c r="L28" s="27">
        <f ca="1">_xll.DBRW("Smartco:Metrics",$K28,$D$47,$E$47,L$23,"Variance Percent")</f>
        <v>-4.4993674992552832E-4</v>
      </c>
      <c r="M28" s="27">
        <f ca="1">_xll.DBRW("Smartco:Metrics",$K28,$D$47,$E$47,M$23,"Variance Percent")</f>
        <v>-1.8171468358822221E-3</v>
      </c>
      <c r="N28" s="27">
        <f ca="1">_xll.DBRW("Smartco:Metrics",$K28,$D$47,$E$47,N$23,"Variance Percent")</f>
        <v>-1.8171468358822221E-3</v>
      </c>
      <c r="O28" s="27">
        <f ca="1">_xll.DBRW("Smartco:Metrics",$K28,$D$47,$E$47,O$23,"Variance Percent")</f>
        <v>-1.8171468358822221E-3</v>
      </c>
      <c r="P28" s="27">
        <f ca="1">_xll.DBRW("Smartco:Metrics",$K28,$D$47,$E$47,P$23,"Variance Percent")</f>
        <v>-1.8171468358822221E-3</v>
      </c>
      <c r="Q28" s="27">
        <f ca="1">_xll.DBRW("Smartco:Metrics",$K28,$D$47,$E$47,Q$23,"Variance Percent")</f>
        <v>-1.8171468358822221E-3</v>
      </c>
      <c r="R28" s="27">
        <f ca="1">_xll.DBRW("Smartco:Metrics",$K28,$D$47,$E$47,R$23,"Variance Percent")</f>
        <v>-1.8171468358822221E-3</v>
      </c>
      <c r="S28" s="27">
        <f ca="1">_xll.DBRW("Smartco:Metrics",$K28,$D$47,$E$47,S$23,"Variance Percent")</f>
        <v>-1.8171468358822221E-3</v>
      </c>
      <c r="T28" s="27">
        <f ca="1">_xll.DBRW("Smartco:Metrics",$K28,$D$47,$E$47,T$23,"Variance Percent")</f>
        <v>-1.8171468358822221E-3</v>
      </c>
      <c r="U28" s="27">
        <f ca="1">_xll.DBRW("Smartco:Metrics",$K28,$D$47,$E$47,U$23,"Variance Percent")</f>
        <v>-1.8171468358822221E-3</v>
      </c>
      <c r="V28" s="27">
        <f ca="1">_xll.DBRW("Smartco:Metrics",$K28,$D$47,$E$47,V$23,"Variance Percent")</f>
        <v>-1.8171468358822221E-3</v>
      </c>
      <c r="W28" s="27">
        <f ca="1">_xll.DBRW("Smartco:Metrics",$K28,$D$47,$E$47,W$23,"Variance Percent")</f>
        <v>-1.8171468358822221E-3</v>
      </c>
      <c r="Y28" s="17" t="str">
        <f t="shared" ca="1" si="1"/>
        <v>▼</v>
      </c>
      <c r="Z28" s="17" t="str">
        <f t="shared" ca="1" si="2"/>
        <v>▼</v>
      </c>
      <c r="AA28" s="17" t="str">
        <f t="shared" ca="1" si="3"/>
        <v>▼</v>
      </c>
      <c r="AB28" s="17" t="str">
        <f t="shared" ca="1" si="4"/>
        <v>▼</v>
      </c>
      <c r="AC28" s="17" t="str">
        <f t="shared" ca="1" si="5"/>
        <v>▼</v>
      </c>
      <c r="AD28" s="17" t="str">
        <f t="shared" ca="1" si="6"/>
        <v>▼</v>
      </c>
      <c r="AE28" s="17" t="str">
        <f t="shared" ca="1" si="7"/>
        <v>▼</v>
      </c>
      <c r="AF28" s="17" t="str">
        <f t="shared" ca="1" si="8"/>
        <v>▼</v>
      </c>
      <c r="AG28" s="17" t="str">
        <f t="shared" ca="1" si="9"/>
        <v>▼</v>
      </c>
      <c r="AH28" s="17" t="str">
        <f t="shared" ca="1" si="10"/>
        <v>▼</v>
      </c>
      <c r="AI28" s="17" t="str">
        <f t="shared" ca="1" si="11"/>
        <v>▼</v>
      </c>
      <c r="AJ28" s="17" t="str">
        <f t="shared" ca="1" si="12"/>
        <v>▼</v>
      </c>
    </row>
    <row r="29" spans="2:36" hidden="1" x14ac:dyDescent="0.2">
      <c r="K29" s="26" t="s">
        <v>40</v>
      </c>
      <c r="L29" s="27">
        <f ca="1">_xll.DBRW("Smartco:Metrics",$K29,$D$47,$E$47,L$23,"Variance Percent")</f>
        <v>-5.4431435013163809E-3</v>
      </c>
      <c r="M29" s="27">
        <f ca="1">_xll.DBRW("Smartco:Metrics",$K29,$D$47,$E$47,M$23,"Variance Percent")</f>
        <v>-5.4431435013163809E-3</v>
      </c>
      <c r="N29" s="27">
        <f ca="1">_xll.DBRW("Smartco:Metrics",$K29,$D$47,$E$47,N$23,"Variance Percent")</f>
        <v>-5.4431435013163809E-3</v>
      </c>
      <c r="O29" s="27">
        <f ca="1">_xll.DBRW("Smartco:Metrics",$K29,$D$47,$E$47,O$23,"Variance Percent")</f>
        <v>-5.4431435013163809E-3</v>
      </c>
      <c r="P29" s="27">
        <f ca="1">_xll.DBRW("Smartco:Metrics",$K29,$D$47,$E$47,P$23,"Variance Percent")</f>
        <v>-5.4431435013163809E-3</v>
      </c>
      <c r="Q29" s="27">
        <f ca="1">_xll.DBRW("Smartco:Metrics",$K29,$D$47,$E$47,Q$23,"Variance Percent")</f>
        <v>-5.4431435013163809E-3</v>
      </c>
      <c r="R29" s="27">
        <f ca="1">_xll.DBRW("Smartco:Metrics",$K29,$D$47,$E$47,R$23,"Variance Percent")</f>
        <v>-5.4431435013163809E-3</v>
      </c>
      <c r="S29" s="27">
        <f ca="1">_xll.DBRW("Smartco:Metrics",$K29,$D$47,$E$47,S$23,"Variance Percent")</f>
        <v>-5.4431435013163809E-3</v>
      </c>
      <c r="T29" s="27">
        <f ca="1">_xll.DBRW("Smartco:Metrics",$K29,$D$47,$E$47,T$23,"Variance Percent")</f>
        <v>-5.4431435013163809E-3</v>
      </c>
      <c r="U29" s="27">
        <f ca="1">_xll.DBRW("Smartco:Metrics",$K29,$D$47,$E$47,U$23,"Variance Percent")</f>
        <v>-5.4431435013163809E-3</v>
      </c>
      <c r="V29" s="27">
        <f ca="1">_xll.DBRW("Smartco:Metrics",$K29,$D$47,$E$47,V$23,"Variance Percent")</f>
        <v>-5.4431435013163809E-3</v>
      </c>
      <c r="W29" s="27">
        <f ca="1">_xll.DBRW("Smartco:Metrics",$K29,$D$47,$E$47,W$23,"Variance Percent")</f>
        <v>-5.4431435013163809E-3</v>
      </c>
      <c r="Y29" s="17" t="str">
        <f t="shared" ca="1" si="1"/>
        <v>▼</v>
      </c>
      <c r="Z29" s="17" t="str">
        <f t="shared" ca="1" si="2"/>
        <v>▼</v>
      </c>
      <c r="AA29" s="17" t="str">
        <f t="shared" ca="1" si="3"/>
        <v>▼</v>
      </c>
      <c r="AB29" s="17" t="str">
        <f t="shared" ca="1" si="4"/>
        <v>▼</v>
      </c>
      <c r="AC29" s="17" t="str">
        <f t="shared" ca="1" si="5"/>
        <v>▼</v>
      </c>
      <c r="AD29" s="17" t="str">
        <f t="shared" ca="1" si="6"/>
        <v>▼</v>
      </c>
      <c r="AE29" s="17" t="str">
        <f t="shared" ca="1" si="7"/>
        <v>▼</v>
      </c>
      <c r="AF29" s="17" t="str">
        <f t="shared" ca="1" si="8"/>
        <v>▼</v>
      </c>
      <c r="AG29" s="17" t="str">
        <f t="shared" ca="1" si="9"/>
        <v>▼</v>
      </c>
      <c r="AH29" s="17" t="str">
        <f t="shared" ca="1" si="10"/>
        <v>▼</v>
      </c>
      <c r="AI29" s="17" t="str">
        <f t="shared" ca="1" si="11"/>
        <v>▼</v>
      </c>
      <c r="AJ29" s="17" t="str">
        <f t="shared" ca="1" si="12"/>
        <v>▼</v>
      </c>
    </row>
    <row r="30" spans="2:36" hidden="1" x14ac:dyDescent="0.2">
      <c r="K30" s="26" t="s">
        <v>41</v>
      </c>
      <c r="L30" s="27">
        <f ca="1">_xll.DBRW("Smartco:Metrics",$K30,$D$47,$E$47,L$23,"Variance Percent")</f>
        <v>-0.15557062146892672</v>
      </c>
      <c r="M30" s="27">
        <f ca="1">_xll.DBRW("Smartco:Metrics",$K30,$D$47,$E$47,M$23,"Variance Percent")</f>
        <v>-0.18129606266618703</v>
      </c>
      <c r="N30" s="27">
        <f ca="1">_xll.DBRW("Smartco:Metrics",$K30,$D$47,$E$47,N$23,"Variance Percent")</f>
        <v>-0.35975657319087667</v>
      </c>
      <c r="O30" s="27">
        <f ca="1">_xll.DBRW("Smartco:Metrics",$K30,$D$47,$E$47,O$23,"Variance Percent")</f>
        <v>-0.27424775029546716</v>
      </c>
      <c r="P30" s="27">
        <f ca="1">_xll.DBRW("Smartco:Metrics",$K30,$D$47,$E$47,P$23,"Variance Percent")</f>
        <v>-0.28693239082025734</v>
      </c>
      <c r="Q30" s="27">
        <f ca="1">_xll.DBRW("Smartco:Metrics",$K30,$D$47,$E$47,Q$23,"Variance Percent")</f>
        <v>-0.44124885675846948</v>
      </c>
      <c r="R30" s="27">
        <f ca="1">_xll.DBRW("Smartco:Metrics",$K30,$D$47,$E$47,R$23,"Variance Percent")</f>
        <v>-0.2869342033454037</v>
      </c>
      <c r="S30" s="27">
        <f ca="1">_xll.DBRW("Smartco:Metrics",$K30,$D$47,$E$47,S$23,"Variance Percent")</f>
        <v>-0.2869342033454037</v>
      </c>
      <c r="T30" s="27">
        <f ca="1">_xll.DBRW("Smartco:Metrics",$K30,$D$47,$E$47,T$23,"Variance Percent")</f>
        <v>-0.44125027703122427</v>
      </c>
      <c r="U30" s="27">
        <f ca="1">_xll.DBRW("Smartco:Metrics",$K30,$D$47,$E$47,U$23,"Variance Percent")</f>
        <v>-0.23925442093141455</v>
      </c>
      <c r="V30" s="27">
        <f ca="1">_xll.DBRW("Smartco:Metrics",$K30,$D$47,$E$47,V$23,"Variance Percent")</f>
        <v>-0.17187853578286552</v>
      </c>
      <c r="W30" s="27">
        <f ca="1">_xll.DBRW("Smartco:Metrics",$K30,$D$47,$E$47,W$23,"Variance Percent")</f>
        <v>-0.23146414701404217</v>
      </c>
      <c r="Y30" s="17" t="str">
        <f t="shared" ca="1" si="1"/>
        <v>▼</v>
      </c>
      <c r="Z30" s="17" t="str">
        <f t="shared" ca="1" si="2"/>
        <v>▼</v>
      </c>
      <c r="AA30" s="17" t="str">
        <f t="shared" ca="1" si="3"/>
        <v>▼</v>
      </c>
      <c r="AB30" s="17" t="str">
        <f t="shared" ca="1" si="4"/>
        <v>▼</v>
      </c>
      <c r="AC30" s="17" t="str">
        <f t="shared" ca="1" si="5"/>
        <v>▼</v>
      </c>
      <c r="AD30" s="17" t="str">
        <f t="shared" ca="1" si="6"/>
        <v>▼</v>
      </c>
      <c r="AE30" s="17" t="str">
        <f t="shared" ca="1" si="7"/>
        <v>▼</v>
      </c>
      <c r="AF30" s="17" t="str">
        <f t="shared" ca="1" si="8"/>
        <v>▼</v>
      </c>
      <c r="AG30" s="17" t="str">
        <f t="shared" ca="1" si="9"/>
        <v>▼</v>
      </c>
      <c r="AH30" s="17" t="str">
        <f t="shared" ca="1" si="10"/>
        <v>▼</v>
      </c>
      <c r="AI30" s="17" t="str">
        <f t="shared" ca="1" si="11"/>
        <v>▼</v>
      </c>
      <c r="AJ30" s="17" t="str">
        <f t="shared" ca="1" si="12"/>
        <v>▼</v>
      </c>
    </row>
    <row r="31" spans="2:36" hidden="1" x14ac:dyDescent="0.2">
      <c r="K31" s="26" t="s">
        <v>42</v>
      </c>
      <c r="L31" s="27">
        <f ca="1">_xll.DBRW("Smartco:Metrics",$K31,$D$47,$E$47,L$23,"Variance Percent")</f>
        <v>-5.4554306842491324E-2</v>
      </c>
      <c r="M31" s="27">
        <f ca="1">_xll.DBRW("Smartco:Metrics",$K31,$D$47,$E$47,M$23,"Variance Percent")</f>
        <v>-2.8780277338242337E-2</v>
      </c>
      <c r="N31" s="27">
        <f ca="1">_xll.DBRW("Smartco:Metrics",$K31,$D$47,$E$47,N$23,"Variance Percent")</f>
        <v>-2.9082208337502875E-2</v>
      </c>
      <c r="O31" s="27">
        <f ca="1">_xll.DBRW("Smartco:Metrics",$K31,$D$47,$E$47,O$23,"Variance Percent")</f>
        <v>-9.441706753944866E-2</v>
      </c>
      <c r="P31" s="27">
        <f ca="1">_xll.DBRW("Smartco:Metrics",$K31,$D$47,$E$47,P$23,"Variance Percent")</f>
        <v>-2.9361391384777152E-2</v>
      </c>
      <c r="Q31" s="27">
        <f ca="1">_xll.DBRW("Smartco:Metrics",$K31,$D$47,$E$47,Q$23,"Variance Percent")</f>
        <v>-2.9535799271801996E-2</v>
      </c>
      <c r="R31" s="27">
        <f ca="1">_xll.DBRW("Smartco:Metrics",$K31,$D$47,$E$47,R$23,"Variance Percent")</f>
        <v>-2.9698523427717234E-2</v>
      </c>
      <c r="S31" s="27">
        <f ca="1">_xll.DBRW("Smartco:Metrics",$K31,$D$47,$E$47,S$23,"Variance Percent")</f>
        <v>-2.9698523427717234E-2</v>
      </c>
      <c r="T31" s="27">
        <f ca="1">_xll.DBRW("Smartco:Metrics",$K31,$D$47,$E$47,T$23,"Variance Percent")</f>
        <v>-2.9698523427717234E-2</v>
      </c>
      <c r="U31" s="27">
        <f ca="1">_xll.DBRW("Smartco:Metrics",$K31,$D$47,$E$47,U$23,"Variance Percent")</f>
        <v>-2.9768245647757027E-2</v>
      </c>
      <c r="V31" s="27">
        <f ca="1">_xll.DBRW("Smartco:Metrics",$K31,$D$47,$E$47,V$23,"Variance Percent")</f>
        <v>-2.9768245647757027E-2</v>
      </c>
      <c r="W31" s="27">
        <f ca="1">_xll.DBRW("Smartco:Metrics",$K31,$D$47,$E$47,W$23,"Variance Percent")</f>
        <v>-2.9768245647757027E-2</v>
      </c>
      <c r="Y31" s="17" t="str">
        <f t="shared" ca="1" si="1"/>
        <v>▼</v>
      </c>
      <c r="Z31" s="17" t="str">
        <f t="shared" ca="1" si="2"/>
        <v>▼</v>
      </c>
      <c r="AA31" s="17" t="str">
        <f t="shared" ca="1" si="3"/>
        <v>▼</v>
      </c>
      <c r="AB31" s="17" t="str">
        <f t="shared" ca="1" si="4"/>
        <v>▼</v>
      </c>
      <c r="AC31" s="17" t="str">
        <f t="shared" ca="1" si="5"/>
        <v>▼</v>
      </c>
      <c r="AD31" s="17" t="str">
        <f t="shared" ca="1" si="6"/>
        <v>▼</v>
      </c>
      <c r="AE31" s="17" t="str">
        <f t="shared" ca="1" si="7"/>
        <v>▼</v>
      </c>
      <c r="AF31" s="17" t="str">
        <f t="shared" ca="1" si="8"/>
        <v>▼</v>
      </c>
      <c r="AG31" s="17" t="str">
        <f t="shared" ca="1" si="9"/>
        <v>▼</v>
      </c>
      <c r="AH31" s="17" t="str">
        <f t="shared" ca="1" si="10"/>
        <v>▼</v>
      </c>
      <c r="AI31" s="17" t="str">
        <f t="shared" ca="1" si="11"/>
        <v>▼</v>
      </c>
      <c r="AJ31" s="17" t="str">
        <f t="shared" ca="1" si="12"/>
        <v>▼</v>
      </c>
    </row>
    <row r="32" spans="2:36" hidden="1" x14ac:dyDescent="0.2">
      <c r="K32" s="26" t="s">
        <v>43</v>
      </c>
      <c r="L32" s="27">
        <f ca="1">_xll.DBRW("Smartco:Metrics",$K32,$D$47,$E$47,L$23,"Variance Percent")</f>
        <v>1.775172413793104</v>
      </c>
      <c r="M32" s="27">
        <f ca="1">_xll.DBRW("Smartco:Metrics",$K32,$D$47,$E$47,M$23,"Variance Percent")</f>
        <v>0.48970273483947679</v>
      </c>
      <c r="N32" s="27">
        <f ca="1">_xll.DBRW("Smartco:Metrics",$K32,$D$47,$E$47,N$23,"Variance Percent")</f>
        <v>0.13681482957942995</v>
      </c>
      <c r="O32" s="27">
        <f ca="1">_xll.DBRW("Smartco:Metrics",$K32,$D$47,$E$47,O$23,"Variance Percent")</f>
        <v>9.9310344827586203E-2</v>
      </c>
      <c r="P32" s="27">
        <f ca="1">_xll.DBRW("Smartco:Metrics",$K32,$D$47,$E$47,P$23,"Variance Percent")</f>
        <v>8.9316851008458029E-2</v>
      </c>
      <c r="Q32" s="27">
        <f ca="1">_xll.DBRW("Smartco:Metrics",$K32,$D$47,$E$47,Q$23,"Variance Percent")</f>
        <v>1.4949863263445764E-2</v>
      </c>
      <c r="R32" s="27">
        <f ca="1">_xll.DBRW("Smartco:Metrics",$K32,$D$47,$E$47,R$23,"Variance Percent")</f>
        <v>1.9025581694305184E-3</v>
      </c>
      <c r="S32" s="27">
        <f ca="1">_xll.DBRW("Smartco:Metrics",$K32,$D$47,$E$47,S$23,"Variance Percent")</f>
        <v>1.7705467161145073E-3</v>
      </c>
      <c r="T32" s="27">
        <f ca="1">_xll.DBRW("Smartco:Metrics",$K32,$D$47,$E$47,T$23,"Variance Percent")</f>
        <v>1.6036406978004118E-3</v>
      </c>
      <c r="U32" s="27">
        <f ca="1">_xll.DBRW("Smartco:Metrics",$K32,$D$47,$E$47,U$23,"Variance Percent")</f>
        <v>1.4612954186413903E-3</v>
      </c>
      <c r="V32" s="27">
        <f ca="1">_xll.DBRW("Smartco:Metrics",$K32,$D$47,$E$47,V$23,"Variance Percent")</f>
        <v>1.4612954186413903E-3</v>
      </c>
      <c r="W32" s="27">
        <f ca="1">_xll.DBRW("Smartco:Metrics",$K32,$D$47,$E$47,W$23,"Variance Percent")</f>
        <v>1.4612954186413903E-3</v>
      </c>
      <c r="Y32" s="17" t="str">
        <f t="shared" ca="1" si="1"/>
        <v>▲</v>
      </c>
      <c r="Z32" s="17" t="str">
        <f t="shared" ca="1" si="2"/>
        <v>▲</v>
      </c>
      <c r="AA32" s="17" t="str">
        <f t="shared" ca="1" si="3"/>
        <v>▲</v>
      </c>
      <c r="AB32" s="17" t="str">
        <f t="shared" ca="1" si="4"/>
        <v>▲</v>
      </c>
      <c r="AC32" s="17" t="str">
        <f t="shared" ca="1" si="5"/>
        <v>▲</v>
      </c>
      <c r="AD32" s="17" t="str">
        <f t="shared" ca="1" si="6"/>
        <v>▲</v>
      </c>
      <c r="AE32" s="17" t="str">
        <f t="shared" ca="1" si="7"/>
        <v>▲</v>
      </c>
      <c r="AF32" s="17" t="str">
        <f t="shared" ca="1" si="8"/>
        <v>▲</v>
      </c>
      <c r="AG32" s="17" t="str">
        <f t="shared" ca="1" si="9"/>
        <v>▲</v>
      </c>
      <c r="AH32" s="17" t="str">
        <f t="shared" ca="1" si="10"/>
        <v>▲</v>
      </c>
      <c r="AI32" s="17" t="str">
        <f t="shared" ca="1" si="11"/>
        <v>▲</v>
      </c>
      <c r="AJ32" s="17" t="str">
        <f t="shared" ca="1" si="12"/>
        <v>▲</v>
      </c>
    </row>
    <row r="33" spans="3:36" hidden="1" x14ac:dyDescent="0.2">
      <c r="K33" s="28" t="s">
        <v>8</v>
      </c>
      <c r="L33" s="27">
        <f ca="1">_xll.DBRW("Smartco:Metrics",$K33,$D$47,$E$47,L$23,"Variance Percent")</f>
        <v>1.2889560173881976E-2</v>
      </c>
      <c r="M33" s="27">
        <f ca="1">_xll.DBRW("Smartco:Metrics",$K33,$D$47,$E$47,M$23,"Variance Percent")</f>
        <v>4.0047643024445079E-2</v>
      </c>
      <c r="N33" s="27">
        <f ca="1">_xll.DBRW("Smartco:Metrics",$K33,$D$47,$E$47,N$23,"Variance Percent")</f>
        <v>-1.213599015493569E-2</v>
      </c>
      <c r="O33" s="27">
        <f ca="1">_xll.DBRW("Smartco:Metrics",$K33,$D$47,$E$47,O$23,"Variance Percent")</f>
        <v>3.4099293230689227E-2</v>
      </c>
      <c r="P33" s="27">
        <f ca="1">_xll.DBRW("Smartco:Metrics",$K33,$D$47,$E$47,P$23,"Variance Percent")</f>
        <v>3.6939467888230777E-2</v>
      </c>
      <c r="Q33" s="27">
        <f ca="1">_xll.DBRW("Smartco:Metrics",$K33,$D$47,$E$47,Q$23,"Variance Percent")</f>
        <v>-2.1090367428637794E-2</v>
      </c>
      <c r="R33" s="27">
        <f ca="1">_xll.DBRW("Smartco:Metrics",$K33,$D$47,$E$47,R$23,"Variance Percent")</f>
        <v>2.2942675725880091E-2</v>
      </c>
      <c r="S33" s="27">
        <f ca="1">_xll.DBRW("Smartco:Metrics",$K33,$D$47,$E$47,S$23,"Variance Percent")</f>
        <v>2.2629174895007816E-2</v>
      </c>
      <c r="T33" s="27">
        <f ca="1">_xll.DBRW("Smartco:Metrics",$K33,$D$47,$E$47,T$23,"Variance Percent")</f>
        <v>-2.3620757126410624E-2</v>
      </c>
      <c r="U33" s="27">
        <f ca="1">_xll.DBRW("Smartco:Metrics",$K33,$D$47,$E$47,U$23,"Variance Percent")</f>
        <v>2.2844383263306012E-2</v>
      </c>
      <c r="V33" s="27">
        <f ca="1">_xll.DBRW("Smartco:Metrics",$K33,$D$47,$E$47,V$23,"Variance Percent")</f>
        <v>0.11973936941228461</v>
      </c>
      <c r="W33" s="27">
        <f ca="1">_xll.DBRW("Smartco:Metrics",$K33,$D$47,$E$47,W$23,"Variance Percent")</f>
        <v>0.1349125856696359</v>
      </c>
      <c r="Y33" s="17" t="str">
        <f t="shared" ca="1" si="1"/>
        <v>▲</v>
      </c>
      <c r="Z33" s="17" t="str">
        <f t="shared" ca="1" si="2"/>
        <v>▲</v>
      </c>
      <c r="AA33" s="17" t="str">
        <f t="shared" ca="1" si="3"/>
        <v>▼</v>
      </c>
      <c r="AB33" s="17" t="str">
        <f t="shared" ca="1" si="4"/>
        <v>▲</v>
      </c>
      <c r="AC33" s="17" t="str">
        <f t="shared" ca="1" si="5"/>
        <v>▲</v>
      </c>
      <c r="AD33" s="17" t="str">
        <f t="shared" ca="1" si="6"/>
        <v>▼</v>
      </c>
      <c r="AE33" s="17" t="str">
        <f t="shared" ca="1" si="7"/>
        <v>▲</v>
      </c>
      <c r="AF33" s="17" t="str">
        <f t="shared" ca="1" si="8"/>
        <v>▲</v>
      </c>
      <c r="AG33" s="17" t="str">
        <f t="shared" ca="1" si="9"/>
        <v>▼</v>
      </c>
      <c r="AH33" s="17" t="str">
        <f t="shared" ca="1" si="10"/>
        <v>▲</v>
      </c>
      <c r="AI33" s="17" t="str">
        <f t="shared" ca="1" si="11"/>
        <v>▲</v>
      </c>
      <c r="AJ33" s="17" t="str">
        <f t="shared" ca="1" si="12"/>
        <v>▲</v>
      </c>
    </row>
    <row r="34" spans="3:36" hidden="1" x14ac:dyDescent="0.2">
      <c r="K34" s="29" t="s">
        <v>9</v>
      </c>
      <c r="L34" s="27">
        <f ca="1">_xll.DBRW("Smartco:Metrics",$K34,$D$47,$E$47,L$23,"Variance Percent")</f>
        <v>-0.25397615776101795</v>
      </c>
      <c r="M34" s="27">
        <f ca="1">_xll.DBRW("Smartco:Metrics",$K34,$D$47,$E$47,M$23,"Variance Percent")</f>
        <v>-0.22796994596188142</v>
      </c>
      <c r="N34" s="27">
        <f ca="1">_xll.DBRW("Smartco:Metrics",$K34,$D$47,$E$47,N$23,"Variance Percent")</f>
        <v>-0.19617166944362516</v>
      </c>
      <c r="O34" s="27">
        <f ca="1">_xll.DBRW("Smartco:Metrics",$K34,$D$47,$E$47,O$23,"Variance Percent")</f>
        <v>-0.1286499403758638</v>
      </c>
      <c r="P34" s="27">
        <f ca="1">_xll.DBRW("Smartco:Metrics",$K34,$D$47,$E$47,P$23,"Variance Percent")</f>
        <v>-0.18535725096512504</v>
      </c>
      <c r="Q34" s="27">
        <f ca="1">_xll.DBRW("Smartco:Metrics",$K34,$D$47,$E$47,Q$23,"Variance Percent")</f>
        <v>-0.18163012931611228</v>
      </c>
      <c r="R34" s="27">
        <f ca="1">_xll.DBRW("Smartco:Metrics",$K34,$D$47,$E$47,R$23,"Variance Percent")</f>
        <v>-0.23241345659201815</v>
      </c>
      <c r="S34" s="27">
        <f ca="1">_xll.DBRW("Smartco:Metrics",$K34,$D$47,$E$47,S$23,"Variance Percent")</f>
        <v>-0.23339059878630994</v>
      </c>
      <c r="T34" s="27">
        <f ca="1">_xll.DBRW("Smartco:Metrics",$K34,$D$47,$E$47,T$23,"Variance Percent")</f>
        <v>-0.23775047483404732</v>
      </c>
      <c r="U34" s="27">
        <f ca="1">_xll.DBRW("Smartco:Metrics",$K34,$D$47,$E$47,U$23,"Variance Percent")</f>
        <v>-0.20832169129357408</v>
      </c>
      <c r="V34" s="27">
        <f ca="1">_xll.DBRW("Smartco:Metrics",$K34,$D$47,$E$47,V$23,"Variance Percent")</f>
        <v>-0.17878254727375531</v>
      </c>
      <c r="W34" s="27">
        <f ca="1">_xll.DBRW("Smartco:Metrics",$K34,$D$47,$E$47,W$23,"Variance Percent")</f>
        <v>-7.7861116291140217E-2</v>
      </c>
      <c r="Y34" s="17" t="str">
        <f t="shared" ca="1" si="1"/>
        <v>▼</v>
      </c>
      <c r="Z34" s="17" t="str">
        <f t="shared" ca="1" si="2"/>
        <v>▼</v>
      </c>
      <c r="AA34" s="17" t="str">
        <f t="shared" ca="1" si="3"/>
        <v>▼</v>
      </c>
      <c r="AB34" s="17" t="str">
        <f t="shared" ca="1" si="4"/>
        <v>▼</v>
      </c>
      <c r="AC34" s="17" t="str">
        <f t="shared" ca="1" si="5"/>
        <v>▼</v>
      </c>
      <c r="AD34" s="17" t="str">
        <f t="shared" ca="1" si="6"/>
        <v>▼</v>
      </c>
      <c r="AE34" s="17" t="str">
        <f t="shared" ca="1" si="7"/>
        <v>▼</v>
      </c>
      <c r="AF34" s="17" t="str">
        <f t="shared" ca="1" si="8"/>
        <v>▼</v>
      </c>
      <c r="AG34" s="17" t="str">
        <f t="shared" ca="1" si="9"/>
        <v>▼</v>
      </c>
      <c r="AH34" s="17" t="str">
        <f t="shared" ca="1" si="10"/>
        <v>▼</v>
      </c>
      <c r="AI34" s="17" t="str">
        <f t="shared" ca="1" si="11"/>
        <v>▼</v>
      </c>
      <c r="AJ34" s="17" t="str">
        <f t="shared" ca="1" si="12"/>
        <v>▼</v>
      </c>
    </row>
    <row r="35" spans="3:36" hidden="1" x14ac:dyDescent="0.2">
      <c r="K35" s="26" t="s">
        <v>44</v>
      </c>
      <c r="L35" s="27">
        <f ca="1">_xll.DBRW("Smartco:Metrics",$K35,$D$47,$E$47,L$23,"Variance Percent")</f>
        <v>-5.7919767126240453E-2</v>
      </c>
      <c r="M35" s="27">
        <f ca="1">_xll.DBRW("Smartco:Metrics",$K35,$D$47,$E$47,M$23,"Variance Percent")</f>
        <v>-8.664706585856212E-2</v>
      </c>
      <c r="N35" s="27">
        <f ca="1">_xll.DBRW("Smartco:Metrics",$K35,$D$47,$E$47,N$23,"Variance Percent")</f>
        <v>-0.12814689524714548</v>
      </c>
      <c r="O35" s="27">
        <f ca="1">_xll.DBRW("Smartco:Metrics",$K35,$D$47,$E$47,O$23,"Variance Percent")</f>
        <v>-0.1040353197016088</v>
      </c>
      <c r="P35" s="27">
        <f ca="1">_xll.DBRW("Smartco:Metrics",$K35,$D$47,$E$47,P$23,"Variance Percent")</f>
        <v>-9.7343922620446083E-2</v>
      </c>
      <c r="Q35" s="27">
        <f ca="1">_xll.DBRW("Smartco:Metrics",$K35,$D$47,$E$47,Q$23,"Variance Percent")</f>
        <v>-0.13233442621374747</v>
      </c>
      <c r="R35" s="27">
        <f ca="1">_xll.DBRW("Smartco:Metrics",$K35,$D$47,$E$47,R$23,"Variance Percent")</f>
        <v>-9.7343922620446083E-2</v>
      </c>
      <c r="S35" s="27">
        <f ca="1">_xll.DBRW("Smartco:Metrics",$K35,$D$47,$E$47,S$23,"Variance Percent")</f>
        <v>-9.7343922620446083E-2</v>
      </c>
      <c r="T35" s="27">
        <f ca="1">_xll.DBRW("Smartco:Metrics",$K35,$D$47,$E$47,T$23,"Variance Percent")</f>
        <v>-0.13233442621374747</v>
      </c>
      <c r="U35" s="27">
        <f ca="1">_xll.DBRW("Smartco:Metrics",$K35,$D$47,$E$47,U$23,"Variance Percent")</f>
        <v>-8.9191117007301285E-2</v>
      </c>
      <c r="V35" s="27">
        <f ca="1">_xll.DBRW("Smartco:Metrics",$K35,$D$47,$E$47,V$23,"Variance Percent")</f>
        <v>9.0023129732395374E-2</v>
      </c>
      <c r="W35" s="27">
        <f ca="1">_xll.DBRW("Smartco:Metrics",$K35,$D$47,$E$47,W$23,"Variance Percent")</f>
        <v>6.3820166529416758E-2</v>
      </c>
      <c r="Y35" s="17" t="str">
        <f t="shared" ca="1" si="1"/>
        <v>▼</v>
      </c>
      <c r="Z35" s="17" t="str">
        <f t="shared" ca="1" si="2"/>
        <v>▼</v>
      </c>
      <c r="AA35" s="17" t="str">
        <f t="shared" ca="1" si="3"/>
        <v>▼</v>
      </c>
      <c r="AB35" s="17" t="str">
        <f t="shared" ca="1" si="4"/>
        <v>▼</v>
      </c>
      <c r="AC35" s="17" t="str">
        <f t="shared" ca="1" si="5"/>
        <v>▼</v>
      </c>
      <c r="AD35" s="17" t="str">
        <f t="shared" ca="1" si="6"/>
        <v>▼</v>
      </c>
      <c r="AE35" s="17" t="str">
        <f t="shared" ca="1" si="7"/>
        <v>▼</v>
      </c>
      <c r="AF35" s="17" t="str">
        <f t="shared" ca="1" si="8"/>
        <v>▼</v>
      </c>
      <c r="AG35" s="17" t="str">
        <f t="shared" ca="1" si="9"/>
        <v>▼</v>
      </c>
      <c r="AH35" s="17" t="str">
        <f t="shared" ca="1" si="10"/>
        <v>▼</v>
      </c>
      <c r="AI35" s="17" t="str">
        <f t="shared" ca="1" si="11"/>
        <v>▲</v>
      </c>
      <c r="AJ35" s="17" t="str">
        <f t="shared" ca="1" si="12"/>
        <v>▲</v>
      </c>
    </row>
    <row r="36" spans="3:36" hidden="1" x14ac:dyDescent="0.2">
      <c r="K36" s="30" t="s">
        <v>45</v>
      </c>
      <c r="L36" s="27">
        <f ca="1">_xll.DBRW("Smartco:Metrics",$K36,$D$47,$E$47,L$23,"Variance Percent")</f>
        <v>-0.25363003754843222</v>
      </c>
      <c r="M36" s="27">
        <f ca="1">_xll.DBRW("Smartco:Metrics",$K36,$D$47,$E$47,M$23,"Variance Percent")</f>
        <v>-0.22773586507188565</v>
      </c>
      <c r="N36" s="27">
        <f ca="1">_xll.DBRW("Smartco:Metrics",$K36,$D$47,$E$47,N$23,"Variance Percent")</f>
        <v>-0.19606072298119881</v>
      </c>
      <c r="O36" s="27">
        <f ca="1">_xll.DBRW("Smartco:Metrics",$K36,$D$47,$E$47,O$23,"Variance Percent")</f>
        <v>-0.1286126549602177</v>
      </c>
      <c r="P36" s="27">
        <f ca="1">_xll.DBRW("Smartco:Metrics",$K36,$D$47,$E$47,P$23,"Variance Percent")</f>
        <v>-0.18521974177892572</v>
      </c>
      <c r="Q36" s="27">
        <f ca="1">_xll.DBRW("Smartco:Metrics",$K36,$D$47,$E$47,Q$23,"Variance Percent")</f>
        <v>-0.18154776048011273</v>
      </c>
      <c r="R36" s="27">
        <f ca="1">_xll.DBRW("Smartco:Metrics",$K36,$D$47,$E$47,R$23,"Variance Percent")</f>
        <v>-0.23220766450512015</v>
      </c>
      <c r="S36" s="27">
        <f ca="1">_xll.DBRW("Smartco:Metrics",$K36,$D$47,$E$47,S$23,"Variance Percent")</f>
        <v>-0.23317899141208256</v>
      </c>
      <c r="T36" s="27">
        <f ca="1">_xll.DBRW("Smartco:Metrics",$K36,$D$47,$E$47,T$23,"Variance Percent")</f>
        <v>-0.23755739078707622</v>
      </c>
      <c r="U36" s="27">
        <f ca="1">_xll.DBRW("Smartco:Metrics",$K36,$D$47,$E$47,U$23,"Variance Percent")</f>
        <v>-0.20810764819269506</v>
      </c>
      <c r="V36" s="27">
        <f ca="1">_xll.DBRW("Smartco:Metrics",$K36,$D$47,$E$47,V$23,"Variance Percent")</f>
        <v>-0.17824867269671929</v>
      </c>
      <c r="W36" s="27">
        <f ca="1">_xll.DBRW("Smartco:Metrics",$K36,$D$47,$E$47,W$23,"Variance Percent")</f>
        <v>-7.7532374981626268E-2</v>
      </c>
      <c r="Y36" s="17" t="str">
        <f t="shared" ca="1" si="1"/>
        <v>▼</v>
      </c>
      <c r="Z36" s="17" t="str">
        <f t="shared" ca="1" si="2"/>
        <v>▼</v>
      </c>
      <c r="AA36" s="17" t="str">
        <f t="shared" ca="1" si="3"/>
        <v>▼</v>
      </c>
      <c r="AB36" s="17" t="str">
        <f t="shared" ca="1" si="4"/>
        <v>▼</v>
      </c>
      <c r="AC36" s="17" t="str">
        <f t="shared" ca="1" si="5"/>
        <v>▼</v>
      </c>
      <c r="AD36" s="17" t="str">
        <f t="shared" ca="1" si="6"/>
        <v>▼</v>
      </c>
      <c r="AE36" s="17" t="str">
        <f t="shared" ca="1" si="7"/>
        <v>▼</v>
      </c>
      <c r="AF36" s="17" t="str">
        <f t="shared" ca="1" si="8"/>
        <v>▼</v>
      </c>
      <c r="AG36" s="17" t="str">
        <f t="shared" ca="1" si="9"/>
        <v>▼</v>
      </c>
      <c r="AH36" s="17" t="str">
        <f t="shared" ca="1" si="10"/>
        <v>▼</v>
      </c>
      <c r="AI36" s="17" t="str">
        <f t="shared" ca="1" si="11"/>
        <v>▼</v>
      </c>
      <c r="AJ36" s="17" t="str">
        <f t="shared" ca="1" si="12"/>
        <v>▼</v>
      </c>
    </row>
    <row r="37" spans="3:36" hidden="1" x14ac:dyDescent="0.2"/>
    <row r="38" spans="3:36" hidden="1" x14ac:dyDescent="0.2"/>
    <row r="39" spans="3:36" hidden="1" x14ac:dyDescent="0.2"/>
    <row r="40" spans="3:36" hidden="1" x14ac:dyDescent="0.2"/>
    <row r="41" spans="3:36" hidden="1" x14ac:dyDescent="0.2"/>
    <row r="42" spans="3:36" hidden="1" x14ac:dyDescent="0.2"/>
    <row r="43" spans="3:36" ht="27" x14ac:dyDescent="0.35">
      <c r="C43" s="52" t="s">
        <v>23</v>
      </c>
      <c r="D43" s="52"/>
      <c r="E43" s="52"/>
      <c r="F43" s="2"/>
    </row>
    <row r="44" spans="3:36" ht="3.75" customHeight="1" x14ac:dyDescent="0.2"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3:36" ht="4.5" customHeight="1" x14ac:dyDescent="0.2">
      <c r="C45" s="4"/>
      <c r="D45" s="4"/>
      <c r="E45" s="4"/>
      <c r="F45" s="4"/>
    </row>
    <row r="46" spans="3:36" ht="15" x14ac:dyDescent="0.25">
      <c r="C46" s="5" t="s">
        <v>24</v>
      </c>
      <c r="D46" s="5" t="s">
        <v>25</v>
      </c>
      <c r="E46" s="6" t="s">
        <v>1</v>
      </c>
      <c r="F46" s="54" t="s">
        <v>26</v>
      </c>
      <c r="G46" s="55"/>
    </row>
    <row r="47" spans="3:36" ht="15" x14ac:dyDescent="0.25">
      <c r="C47" s="7" t="str">
        <f ca="1">_xll.SUBNM("Smartco:Organization","All Members","Total Company","Caption_Default")</f>
        <v>Total Company</v>
      </c>
      <c r="D47" s="8" t="str">
        <f ca="1">_xll.DBRA("Smartco:Organization",$C$47,"Caption_Default")</f>
        <v>Total Company</v>
      </c>
      <c r="E47" s="7" t="str">
        <f ca="1">_xll.SUBNM("Smartco:Year","Default","2015","Caption_Default")</f>
        <v>2015</v>
      </c>
      <c r="F47" s="56" t="s">
        <v>7</v>
      </c>
      <c r="G47" s="56"/>
      <c r="K47"/>
    </row>
    <row r="48" spans="3:36" ht="6.75" customHeight="1" x14ac:dyDescent="0.2"/>
    <row r="49" spans="3:26" ht="15.75" x14ac:dyDescent="0.2">
      <c r="C49" s="50" t="s">
        <v>27</v>
      </c>
      <c r="D49" s="50" t="s">
        <v>28</v>
      </c>
      <c r="E49" s="50" t="s">
        <v>7</v>
      </c>
      <c r="F49" s="50" t="s">
        <v>29</v>
      </c>
      <c r="G49" s="50" t="s">
        <v>9</v>
      </c>
    </row>
    <row r="50" spans="3:26" hidden="1" x14ac:dyDescent="0.2">
      <c r="C50" s="9" t="str">
        <f>C8</f>
        <v>4999 Gross Revenue</v>
      </c>
      <c r="D50" s="9" t="str">
        <f t="shared" ref="D50:F50" si="13">D8</f>
        <v>5999 Cost of Sales</v>
      </c>
      <c r="E50" s="9" t="str">
        <f t="shared" si="13"/>
        <v>Gross Margin</v>
      </c>
      <c r="F50" s="9" t="str">
        <f t="shared" si="13"/>
        <v>Total Operating Expense</v>
      </c>
      <c r="G50" s="9" t="s">
        <v>9</v>
      </c>
    </row>
    <row r="51" spans="3:26" ht="30" x14ac:dyDescent="0.4">
      <c r="C51" s="49">
        <f ca="1">C7/1000000</f>
        <v>83.932191242009651</v>
      </c>
      <c r="D51" s="49">
        <f t="shared" ref="D51:F51" ca="1" si="14">D7/1000000</f>
        <v>45.460300769999996</v>
      </c>
      <c r="E51" s="49">
        <f t="shared" ca="1" si="14"/>
        <v>38.471890472009662</v>
      </c>
      <c r="F51" s="49">
        <f t="shared" ca="1" si="14"/>
        <v>13.501643768896031</v>
      </c>
      <c r="G51" s="49">
        <f ca="1">G7/1000000</f>
        <v>24.970246703113627</v>
      </c>
      <c r="K51" s="52" t="s">
        <v>37</v>
      </c>
      <c r="L51" s="52"/>
      <c r="M51" s="52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3:26" ht="13.5" customHeight="1" x14ac:dyDescent="0.2">
      <c r="C52" s="22"/>
      <c r="D52" s="22"/>
      <c r="E52" s="22"/>
      <c r="F52" s="22"/>
      <c r="G52" s="22"/>
      <c r="K52" s="24"/>
      <c r="L52" s="25" t="s">
        <v>10</v>
      </c>
      <c r="M52" s="25" t="s">
        <v>11</v>
      </c>
      <c r="N52" s="25" t="s">
        <v>12</v>
      </c>
      <c r="O52" s="25" t="s">
        <v>13</v>
      </c>
      <c r="P52" s="25" t="s">
        <v>14</v>
      </c>
      <c r="Q52" s="25" t="s">
        <v>15</v>
      </c>
      <c r="R52" s="25" t="s">
        <v>16</v>
      </c>
      <c r="S52" s="25" t="s">
        <v>17</v>
      </c>
      <c r="T52" s="25" t="s">
        <v>18</v>
      </c>
      <c r="U52" s="25" t="s">
        <v>19</v>
      </c>
      <c r="V52" s="25" t="s">
        <v>20</v>
      </c>
      <c r="W52" s="25" t="s">
        <v>21</v>
      </c>
    </row>
    <row r="53" spans="3:26" ht="12" customHeight="1" x14ac:dyDescent="0.2">
      <c r="C53" s="23"/>
      <c r="D53" s="23"/>
      <c r="E53" s="23"/>
      <c r="F53" s="23"/>
      <c r="G53" s="23"/>
      <c r="K53" s="26" t="s">
        <v>5</v>
      </c>
      <c r="L53" s="33" t="str">
        <f ca="1">Y24</f>
        <v>▼</v>
      </c>
      <c r="M53" s="33" t="str">
        <f t="shared" ref="M53:W53" ca="1" si="15">Z24</f>
        <v>▼</v>
      </c>
      <c r="N53" s="33" t="str">
        <f t="shared" ca="1" si="15"/>
        <v>▼</v>
      </c>
      <c r="O53" s="33" t="str">
        <f t="shared" ca="1" si="15"/>
        <v>▼</v>
      </c>
      <c r="P53" s="33" t="str">
        <f t="shared" ca="1" si="15"/>
        <v>▼</v>
      </c>
      <c r="Q53" s="33" t="str">
        <f t="shared" ca="1" si="15"/>
        <v>▼</v>
      </c>
      <c r="R53" s="33" t="str">
        <f t="shared" ca="1" si="15"/>
        <v>▼</v>
      </c>
      <c r="S53" s="33" t="str">
        <f t="shared" ca="1" si="15"/>
        <v>▼</v>
      </c>
      <c r="T53" s="33" t="str">
        <f t="shared" ca="1" si="15"/>
        <v>▼</v>
      </c>
      <c r="U53" s="33" t="str">
        <f t="shared" ca="1" si="15"/>
        <v>▼</v>
      </c>
      <c r="V53" s="33" t="str">
        <f t="shared" ca="1" si="15"/>
        <v>▼</v>
      </c>
      <c r="W53" s="33" t="str">
        <f t="shared" ca="1" si="15"/>
        <v>▼</v>
      </c>
    </row>
    <row r="54" spans="3:26" ht="12" customHeight="1" x14ac:dyDescent="0.2">
      <c r="C54" s="23"/>
      <c r="D54" s="23"/>
      <c r="E54" s="23"/>
      <c r="F54" s="23"/>
      <c r="G54" s="23"/>
      <c r="K54" s="26" t="s">
        <v>6</v>
      </c>
      <c r="L54" s="33" t="str">
        <f ca="1">Y25</f>
        <v>▼</v>
      </c>
      <c r="M54" s="33" t="str">
        <f t="shared" ref="M54:M65" ca="1" si="16">Z25</f>
        <v>▼</v>
      </c>
      <c r="N54" s="33" t="str">
        <f t="shared" ref="N54:N65" ca="1" si="17">AA25</f>
        <v>▼</v>
      </c>
      <c r="O54" s="33" t="str">
        <f t="shared" ref="O54:O65" ca="1" si="18">AB25</f>
        <v>▼</v>
      </c>
      <c r="P54" s="33" t="str">
        <f t="shared" ref="P54:P65" ca="1" si="19">AC25</f>
        <v>▼</v>
      </c>
      <c r="Q54" s="33" t="str">
        <f t="shared" ref="Q54:Q65" ca="1" si="20">AD25</f>
        <v>▼</v>
      </c>
      <c r="R54" s="33" t="str">
        <f t="shared" ref="R54:R65" ca="1" si="21">AE25</f>
        <v>▼</v>
      </c>
      <c r="S54" s="33" t="str">
        <f t="shared" ref="S54:S65" ca="1" si="22">AF25</f>
        <v>▼</v>
      </c>
      <c r="T54" s="33" t="str">
        <f t="shared" ref="T54:T65" ca="1" si="23">AG25</f>
        <v>▼</v>
      </c>
      <c r="U54" s="33" t="str">
        <f t="shared" ref="U54:U65" ca="1" si="24">AH25</f>
        <v>▼</v>
      </c>
      <c r="V54" s="33" t="str">
        <f t="shared" ref="V54:V65" ca="1" si="25">AI25</f>
        <v>▼</v>
      </c>
      <c r="W54" s="33" t="str">
        <f t="shared" ref="W54:W65" ca="1" si="26">AJ25</f>
        <v>▼</v>
      </c>
    </row>
    <row r="55" spans="3:26" ht="12" customHeight="1" x14ac:dyDescent="0.2">
      <c r="C55" s="23"/>
      <c r="D55" s="23"/>
      <c r="E55" s="23"/>
      <c r="F55" s="23"/>
      <c r="G55" s="23"/>
      <c r="K55" s="28" t="s">
        <v>7</v>
      </c>
      <c r="L55" s="33" t="str">
        <f t="shared" ref="L55:L65" ca="1" si="27">Y26</f>
        <v>▼</v>
      </c>
      <c r="M55" s="33" t="str">
        <f t="shared" ca="1" si="16"/>
        <v>▼</v>
      </c>
      <c r="N55" s="33" t="str">
        <f t="shared" ca="1" si="17"/>
        <v>▼</v>
      </c>
      <c r="O55" s="33" t="str">
        <f t="shared" ca="1" si="18"/>
        <v>▼</v>
      </c>
      <c r="P55" s="33" t="str">
        <f t="shared" ca="1" si="19"/>
        <v>▼</v>
      </c>
      <c r="Q55" s="33" t="str">
        <f t="shared" ca="1" si="20"/>
        <v>▼</v>
      </c>
      <c r="R55" s="33" t="str">
        <f t="shared" ca="1" si="21"/>
        <v>▼</v>
      </c>
      <c r="S55" s="33" t="str">
        <f t="shared" ca="1" si="22"/>
        <v>▼</v>
      </c>
      <c r="T55" s="33" t="str">
        <f t="shared" ca="1" si="23"/>
        <v>▼</v>
      </c>
      <c r="U55" s="33" t="str">
        <f t="shared" ca="1" si="24"/>
        <v>▼</v>
      </c>
      <c r="V55" s="33" t="str">
        <f t="shared" ca="1" si="25"/>
        <v>▼</v>
      </c>
      <c r="W55" s="33" t="str">
        <f t="shared" ca="1" si="26"/>
        <v>▲</v>
      </c>
    </row>
    <row r="56" spans="3:26" ht="12" customHeight="1" x14ac:dyDescent="0.2">
      <c r="C56" s="23"/>
      <c r="D56" s="23"/>
      <c r="E56" s="23"/>
      <c r="F56" s="23"/>
      <c r="G56" s="23"/>
      <c r="K56" s="26" t="s">
        <v>38</v>
      </c>
      <c r="L56" s="33" t="str">
        <f t="shared" ca="1" si="27"/>
        <v>▲</v>
      </c>
      <c r="M56" s="33" t="str">
        <f t="shared" ca="1" si="16"/>
        <v>▲</v>
      </c>
      <c r="N56" s="33" t="str">
        <f t="shared" ca="1" si="17"/>
        <v>▲</v>
      </c>
      <c r="O56" s="33" t="str">
        <f t="shared" ca="1" si="18"/>
        <v>▲</v>
      </c>
      <c r="P56" s="33" t="str">
        <f t="shared" ca="1" si="19"/>
        <v>▲</v>
      </c>
      <c r="Q56" s="33" t="str">
        <f t="shared" ca="1" si="20"/>
        <v>▲</v>
      </c>
      <c r="R56" s="33" t="str">
        <f t="shared" ca="1" si="21"/>
        <v>▲</v>
      </c>
      <c r="S56" s="33" t="str">
        <f t="shared" ca="1" si="22"/>
        <v>▲</v>
      </c>
      <c r="T56" s="33" t="str">
        <f t="shared" ca="1" si="23"/>
        <v>▲</v>
      </c>
      <c r="U56" s="33" t="str">
        <f t="shared" ca="1" si="24"/>
        <v>▲</v>
      </c>
      <c r="V56" s="33" t="str">
        <f t="shared" ca="1" si="25"/>
        <v>▲</v>
      </c>
      <c r="W56" s="33" t="str">
        <f t="shared" ca="1" si="26"/>
        <v>▲</v>
      </c>
    </row>
    <row r="57" spans="3:26" ht="12" customHeight="1" x14ac:dyDescent="0.2">
      <c r="C57" s="23"/>
      <c r="D57" s="23"/>
      <c r="E57" s="23"/>
      <c r="F57" s="23"/>
      <c r="G57" s="23"/>
      <c r="K57" s="26" t="s">
        <v>39</v>
      </c>
      <c r="L57" s="33" t="str">
        <f t="shared" ca="1" si="27"/>
        <v>▼</v>
      </c>
      <c r="M57" s="33" t="str">
        <f t="shared" ca="1" si="16"/>
        <v>▼</v>
      </c>
      <c r="N57" s="33" t="str">
        <f t="shared" ca="1" si="17"/>
        <v>▼</v>
      </c>
      <c r="O57" s="33" t="str">
        <f t="shared" ca="1" si="18"/>
        <v>▼</v>
      </c>
      <c r="P57" s="33" t="str">
        <f t="shared" ca="1" si="19"/>
        <v>▼</v>
      </c>
      <c r="Q57" s="33" t="str">
        <f t="shared" ca="1" si="20"/>
        <v>▼</v>
      </c>
      <c r="R57" s="33" t="str">
        <f t="shared" ca="1" si="21"/>
        <v>▼</v>
      </c>
      <c r="S57" s="33" t="str">
        <f t="shared" ca="1" si="22"/>
        <v>▼</v>
      </c>
      <c r="T57" s="33" t="str">
        <f t="shared" ca="1" si="23"/>
        <v>▼</v>
      </c>
      <c r="U57" s="33" t="str">
        <f t="shared" ca="1" si="24"/>
        <v>▼</v>
      </c>
      <c r="V57" s="33" t="str">
        <f t="shared" ca="1" si="25"/>
        <v>▼</v>
      </c>
      <c r="W57" s="33" t="str">
        <f t="shared" ca="1" si="26"/>
        <v>▼</v>
      </c>
      <c r="Z57" s="17" t="s">
        <v>50</v>
      </c>
    </row>
    <row r="58" spans="3:26" ht="12" customHeight="1" x14ac:dyDescent="0.2">
      <c r="C58" s="23"/>
      <c r="D58" s="23"/>
      <c r="E58" s="23"/>
      <c r="F58" s="23"/>
      <c r="G58" s="23"/>
      <c r="K58" s="26" t="s">
        <v>40</v>
      </c>
      <c r="L58" s="33" t="str">
        <f t="shared" ca="1" si="27"/>
        <v>▼</v>
      </c>
      <c r="M58" s="33" t="str">
        <f t="shared" ca="1" si="16"/>
        <v>▼</v>
      </c>
      <c r="N58" s="33" t="str">
        <f t="shared" ca="1" si="17"/>
        <v>▼</v>
      </c>
      <c r="O58" s="33" t="str">
        <f t="shared" ca="1" si="18"/>
        <v>▼</v>
      </c>
      <c r="P58" s="33" t="str">
        <f t="shared" ca="1" si="19"/>
        <v>▼</v>
      </c>
      <c r="Q58" s="33" t="str">
        <f t="shared" ca="1" si="20"/>
        <v>▼</v>
      </c>
      <c r="R58" s="33" t="str">
        <f t="shared" ca="1" si="21"/>
        <v>▼</v>
      </c>
      <c r="S58" s="33" t="str">
        <f t="shared" ca="1" si="22"/>
        <v>▼</v>
      </c>
      <c r="T58" s="33" t="str">
        <f t="shared" ca="1" si="23"/>
        <v>▼</v>
      </c>
      <c r="U58" s="33" t="str">
        <f t="shared" ca="1" si="24"/>
        <v>▼</v>
      </c>
      <c r="V58" s="33" t="str">
        <f t="shared" ca="1" si="25"/>
        <v>▼</v>
      </c>
      <c r="W58" s="33" t="str">
        <f t="shared" ca="1" si="26"/>
        <v>▼</v>
      </c>
    </row>
    <row r="59" spans="3:26" ht="12" customHeight="1" x14ac:dyDescent="0.2">
      <c r="C59" s="23"/>
      <c r="D59" s="23"/>
      <c r="E59" s="23"/>
      <c r="F59" s="23"/>
      <c r="G59" s="23"/>
      <c r="K59" s="26" t="s">
        <v>41</v>
      </c>
      <c r="L59" s="33" t="str">
        <f t="shared" ca="1" si="27"/>
        <v>▼</v>
      </c>
      <c r="M59" s="33" t="str">
        <f t="shared" ca="1" si="16"/>
        <v>▼</v>
      </c>
      <c r="N59" s="33" t="str">
        <f t="shared" ca="1" si="17"/>
        <v>▼</v>
      </c>
      <c r="O59" s="33" t="str">
        <f t="shared" ca="1" si="18"/>
        <v>▼</v>
      </c>
      <c r="P59" s="33" t="str">
        <f t="shared" ca="1" si="19"/>
        <v>▼</v>
      </c>
      <c r="Q59" s="33" t="str">
        <f t="shared" ca="1" si="20"/>
        <v>▼</v>
      </c>
      <c r="R59" s="33" t="str">
        <f t="shared" ca="1" si="21"/>
        <v>▼</v>
      </c>
      <c r="S59" s="33" t="str">
        <f t="shared" ca="1" si="22"/>
        <v>▼</v>
      </c>
      <c r="T59" s="33" t="str">
        <f t="shared" ca="1" si="23"/>
        <v>▼</v>
      </c>
      <c r="U59" s="33" t="str">
        <f t="shared" ca="1" si="24"/>
        <v>▼</v>
      </c>
      <c r="V59" s="33" t="str">
        <f t="shared" ca="1" si="25"/>
        <v>▼</v>
      </c>
      <c r="W59" s="33" t="str">
        <f t="shared" ca="1" si="26"/>
        <v>▼</v>
      </c>
    </row>
    <row r="60" spans="3:26" ht="12" customHeight="1" x14ac:dyDescent="0.2">
      <c r="C60" s="23"/>
      <c r="D60" s="23"/>
      <c r="E60" s="23"/>
      <c r="F60" s="23"/>
      <c r="G60" s="23"/>
      <c r="K60" s="26" t="s">
        <v>42</v>
      </c>
      <c r="L60" s="33" t="str">
        <f t="shared" ca="1" si="27"/>
        <v>▼</v>
      </c>
      <c r="M60" s="33" t="str">
        <f t="shared" ca="1" si="16"/>
        <v>▼</v>
      </c>
      <c r="N60" s="33" t="str">
        <f t="shared" ca="1" si="17"/>
        <v>▼</v>
      </c>
      <c r="O60" s="33" t="str">
        <f t="shared" ca="1" si="18"/>
        <v>▼</v>
      </c>
      <c r="P60" s="33" t="str">
        <f t="shared" ca="1" si="19"/>
        <v>▼</v>
      </c>
      <c r="Q60" s="33" t="str">
        <f t="shared" ca="1" si="20"/>
        <v>▼</v>
      </c>
      <c r="R60" s="33" t="str">
        <f t="shared" ca="1" si="21"/>
        <v>▼</v>
      </c>
      <c r="S60" s="33" t="str">
        <f t="shared" ca="1" si="22"/>
        <v>▼</v>
      </c>
      <c r="T60" s="33" t="str">
        <f t="shared" ca="1" si="23"/>
        <v>▼</v>
      </c>
      <c r="U60" s="33" t="str">
        <f t="shared" ca="1" si="24"/>
        <v>▼</v>
      </c>
      <c r="V60" s="33" t="str">
        <f t="shared" ca="1" si="25"/>
        <v>▼</v>
      </c>
      <c r="W60" s="33" t="str">
        <f t="shared" ca="1" si="26"/>
        <v>▼</v>
      </c>
    </row>
    <row r="61" spans="3:26" ht="12" customHeight="1" x14ac:dyDescent="0.2">
      <c r="C61" s="23"/>
      <c r="D61" s="23"/>
      <c r="E61" s="23"/>
      <c r="F61" s="23"/>
      <c r="G61" s="23"/>
      <c r="K61" s="26" t="s">
        <v>43</v>
      </c>
      <c r="L61" s="33" t="str">
        <f t="shared" ca="1" si="27"/>
        <v>▲</v>
      </c>
      <c r="M61" s="33" t="str">
        <f t="shared" ca="1" si="16"/>
        <v>▲</v>
      </c>
      <c r="N61" s="33" t="str">
        <f t="shared" ca="1" si="17"/>
        <v>▲</v>
      </c>
      <c r="O61" s="33" t="str">
        <f t="shared" ca="1" si="18"/>
        <v>▲</v>
      </c>
      <c r="P61" s="33" t="str">
        <f t="shared" ca="1" si="19"/>
        <v>▲</v>
      </c>
      <c r="Q61" s="33" t="str">
        <f t="shared" ca="1" si="20"/>
        <v>▲</v>
      </c>
      <c r="R61" s="33" t="str">
        <f t="shared" ca="1" si="21"/>
        <v>▲</v>
      </c>
      <c r="S61" s="33" t="str">
        <f t="shared" ca="1" si="22"/>
        <v>▲</v>
      </c>
      <c r="T61" s="33" t="str">
        <f t="shared" ca="1" si="23"/>
        <v>▲</v>
      </c>
      <c r="U61" s="33" t="str">
        <f t="shared" ca="1" si="24"/>
        <v>▲</v>
      </c>
      <c r="V61" s="33" t="str">
        <f t="shared" ca="1" si="25"/>
        <v>▲</v>
      </c>
      <c r="W61" s="33" t="str">
        <f t="shared" ca="1" si="26"/>
        <v>▲</v>
      </c>
    </row>
    <row r="62" spans="3:26" ht="12" customHeight="1" x14ac:dyDescent="0.2">
      <c r="C62" s="23"/>
      <c r="D62" s="23"/>
      <c r="E62" s="23"/>
      <c r="F62" s="23"/>
      <c r="G62" s="23"/>
      <c r="K62" s="28" t="s">
        <v>8</v>
      </c>
      <c r="L62" s="33" t="str">
        <f t="shared" ca="1" si="27"/>
        <v>▲</v>
      </c>
      <c r="M62" s="33" t="str">
        <f t="shared" ca="1" si="16"/>
        <v>▲</v>
      </c>
      <c r="N62" s="33" t="str">
        <f t="shared" ca="1" si="17"/>
        <v>▼</v>
      </c>
      <c r="O62" s="33" t="str">
        <f t="shared" ca="1" si="18"/>
        <v>▲</v>
      </c>
      <c r="P62" s="33" t="str">
        <f t="shared" ca="1" si="19"/>
        <v>▲</v>
      </c>
      <c r="Q62" s="33" t="str">
        <f t="shared" ca="1" si="20"/>
        <v>▼</v>
      </c>
      <c r="R62" s="33" t="str">
        <f t="shared" ca="1" si="21"/>
        <v>▲</v>
      </c>
      <c r="S62" s="33" t="str">
        <f t="shared" ca="1" si="22"/>
        <v>▲</v>
      </c>
      <c r="T62" s="33" t="str">
        <f t="shared" ca="1" si="23"/>
        <v>▼</v>
      </c>
      <c r="U62" s="33" t="str">
        <f t="shared" ca="1" si="24"/>
        <v>▲</v>
      </c>
      <c r="V62" s="33" t="str">
        <f t="shared" ca="1" si="25"/>
        <v>▲</v>
      </c>
      <c r="W62" s="33" t="str">
        <f t="shared" ca="1" si="26"/>
        <v>▲</v>
      </c>
    </row>
    <row r="63" spans="3:26" ht="12" customHeight="1" x14ac:dyDescent="0.2">
      <c r="C63" s="23"/>
      <c r="D63" s="23"/>
      <c r="E63" s="23"/>
      <c r="F63" s="23"/>
      <c r="G63" s="23"/>
      <c r="K63" s="29" t="s">
        <v>9</v>
      </c>
      <c r="L63" s="33" t="str">
        <f t="shared" ca="1" si="27"/>
        <v>▼</v>
      </c>
      <c r="M63" s="33" t="str">
        <f t="shared" ca="1" si="16"/>
        <v>▼</v>
      </c>
      <c r="N63" s="33" t="str">
        <f t="shared" ca="1" si="17"/>
        <v>▼</v>
      </c>
      <c r="O63" s="33" t="str">
        <f t="shared" ca="1" si="18"/>
        <v>▼</v>
      </c>
      <c r="P63" s="33" t="str">
        <f t="shared" ca="1" si="19"/>
        <v>▼</v>
      </c>
      <c r="Q63" s="33" t="str">
        <f t="shared" ca="1" si="20"/>
        <v>▼</v>
      </c>
      <c r="R63" s="33" t="str">
        <f t="shared" ca="1" si="21"/>
        <v>▼</v>
      </c>
      <c r="S63" s="33" t="str">
        <f t="shared" ca="1" si="22"/>
        <v>▼</v>
      </c>
      <c r="T63" s="33" t="str">
        <f t="shared" ca="1" si="23"/>
        <v>▼</v>
      </c>
      <c r="U63" s="33" t="str">
        <f t="shared" ca="1" si="24"/>
        <v>▼</v>
      </c>
      <c r="V63" s="33" t="str">
        <f t="shared" ca="1" si="25"/>
        <v>▼</v>
      </c>
      <c r="W63" s="33" t="str">
        <f t="shared" ca="1" si="26"/>
        <v>▼</v>
      </c>
    </row>
    <row r="64" spans="3:26" s="22" customFormat="1" ht="12" customHeight="1" x14ac:dyDescent="0.2">
      <c r="C64" s="23"/>
      <c r="D64" s="23"/>
      <c r="E64" s="23"/>
      <c r="F64" s="23"/>
      <c r="G64" s="23"/>
      <c r="K64" s="26" t="s">
        <v>44</v>
      </c>
      <c r="L64" s="33" t="str">
        <f t="shared" ca="1" si="27"/>
        <v>▼</v>
      </c>
      <c r="M64" s="33" t="str">
        <f t="shared" ca="1" si="16"/>
        <v>▼</v>
      </c>
      <c r="N64" s="33" t="str">
        <f t="shared" ca="1" si="17"/>
        <v>▼</v>
      </c>
      <c r="O64" s="33" t="str">
        <f t="shared" ca="1" si="18"/>
        <v>▼</v>
      </c>
      <c r="P64" s="33" t="str">
        <f t="shared" ca="1" si="19"/>
        <v>▼</v>
      </c>
      <c r="Q64" s="33" t="str">
        <f t="shared" ca="1" si="20"/>
        <v>▼</v>
      </c>
      <c r="R64" s="33" t="str">
        <f t="shared" ca="1" si="21"/>
        <v>▼</v>
      </c>
      <c r="S64" s="33" t="str">
        <f t="shared" ca="1" si="22"/>
        <v>▼</v>
      </c>
      <c r="T64" s="33" t="str">
        <f t="shared" ca="1" si="23"/>
        <v>▼</v>
      </c>
      <c r="U64" s="33" t="str">
        <f t="shared" ca="1" si="24"/>
        <v>▼</v>
      </c>
      <c r="V64" s="33" t="str">
        <f t="shared" ca="1" si="25"/>
        <v>▲</v>
      </c>
      <c r="W64" s="33" t="str">
        <f t="shared" ca="1" si="26"/>
        <v>▲</v>
      </c>
    </row>
    <row r="65" spans="3:23" ht="12" customHeight="1" x14ac:dyDescent="0.2">
      <c r="C65" s="23"/>
      <c r="D65" s="23"/>
      <c r="E65" s="23"/>
      <c r="F65" s="23"/>
      <c r="G65" s="23"/>
      <c r="K65" s="30" t="s">
        <v>45</v>
      </c>
      <c r="L65" s="33" t="str">
        <f t="shared" ca="1" si="27"/>
        <v>▼</v>
      </c>
      <c r="M65" s="33" t="str">
        <f t="shared" ca="1" si="16"/>
        <v>▼</v>
      </c>
      <c r="N65" s="33" t="str">
        <f t="shared" ca="1" si="17"/>
        <v>▼</v>
      </c>
      <c r="O65" s="33" t="str">
        <f t="shared" ca="1" si="18"/>
        <v>▼</v>
      </c>
      <c r="P65" s="33" t="str">
        <f t="shared" ca="1" si="19"/>
        <v>▼</v>
      </c>
      <c r="Q65" s="33" t="str">
        <f t="shared" ca="1" si="20"/>
        <v>▼</v>
      </c>
      <c r="R65" s="33" t="str">
        <f t="shared" ca="1" si="21"/>
        <v>▼</v>
      </c>
      <c r="S65" s="33" t="str">
        <f t="shared" ca="1" si="22"/>
        <v>▼</v>
      </c>
      <c r="T65" s="33" t="str">
        <f t="shared" ca="1" si="23"/>
        <v>▼</v>
      </c>
      <c r="U65" s="33" t="str">
        <f t="shared" ca="1" si="24"/>
        <v>▼</v>
      </c>
      <c r="V65" s="33" t="str">
        <f t="shared" ca="1" si="25"/>
        <v>▼</v>
      </c>
      <c r="W65" s="33" t="str">
        <f t="shared" ca="1" si="26"/>
        <v>▼</v>
      </c>
    </row>
    <row r="66" spans="3:23" ht="7.5" customHeight="1" x14ac:dyDescent="0.2"/>
    <row r="67" spans="3:23" hidden="1" x14ac:dyDescent="0.2"/>
    <row r="68" spans="3:23" ht="27" x14ac:dyDescent="0.2">
      <c r="C68" s="51" t="s">
        <v>31</v>
      </c>
      <c r="D68" s="51"/>
      <c r="E68" s="51"/>
      <c r="K68" s="53" t="s">
        <v>49</v>
      </c>
      <c r="L68" s="53"/>
      <c r="M68" s="53"/>
      <c r="N68" s="53"/>
    </row>
    <row r="69" spans="3:23" ht="6.75" customHeight="1" x14ac:dyDescent="0.4">
      <c r="C69" s="10"/>
      <c r="D69" s="10"/>
      <c r="E69" s="10"/>
    </row>
    <row r="70" spans="3:23" ht="15" x14ac:dyDescent="0.25">
      <c r="C70" s="5" t="s">
        <v>32</v>
      </c>
      <c r="D70" s="5" t="s">
        <v>33</v>
      </c>
      <c r="E70" s="11" t="s">
        <v>4</v>
      </c>
    </row>
    <row r="71" spans="3:23" ht="15" x14ac:dyDescent="0.25">
      <c r="C71" s="7" t="str">
        <f ca="1">_xll.SUBNM("smartco:Product","All Members","22001","Caption_Default")</f>
        <v>4G 16Gb</v>
      </c>
      <c r="D71" s="8" t="str">
        <f ca="1">_xll.DBRA("Smartco:Product",$C$71,"Caption_Default")</f>
        <v>4G 16Gb</v>
      </c>
      <c r="E71" s="7" t="str">
        <f ca="1">_xll.SUBNM("smartco:Version","Default","Budget","Caption_Default")</f>
        <v>Budget</v>
      </c>
    </row>
    <row r="72" spans="3:23" ht="9.9499999999999993" customHeight="1" x14ac:dyDescent="0.2"/>
    <row r="73" spans="3:23" ht="9.9499999999999993" customHeight="1" x14ac:dyDescent="0.2"/>
    <row r="74" spans="3:23" ht="9.9499999999999993" customHeight="1" x14ac:dyDescent="0.2"/>
    <row r="75" spans="3:23" ht="9.9499999999999993" customHeight="1" x14ac:dyDescent="0.2"/>
    <row r="76" spans="3:23" ht="9.9499999999999993" customHeight="1" x14ac:dyDescent="0.2"/>
    <row r="77" spans="3:23" ht="9.9499999999999993" customHeight="1" x14ac:dyDescent="0.2"/>
    <row r="78" spans="3:23" ht="9.9499999999999993" customHeight="1" x14ac:dyDescent="0.2"/>
    <row r="79" spans="3:23" ht="9.9499999999999993" customHeight="1" x14ac:dyDescent="0.2"/>
    <row r="80" spans="3:23" ht="9.9499999999999993" customHeight="1" x14ac:dyDescent="0.2"/>
    <row r="81" ht="9.9499999999999993" customHeight="1" x14ac:dyDescent="0.2"/>
    <row r="82" ht="9.9499999999999993" customHeight="1" x14ac:dyDescent="0.2"/>
    <row r="83" ht="9.9499999999999993" customHeight="1" x14ac:dyDescent="0.2"/>
    <row r="84" ht="9.9499999999999993" customHeight="1" x14ac:dyDescent="0.2"/>
    <row r="85" ht="9.9499999999999993" customHeight="1" x14ac:dyDescent="0.2"/>
    <row r="86" ht="9.9499999999999993" customHeight="1" x14ac:dyDescent="0.2"/>
    <row r="87" ht="12" customHeight="1" x14ac:dyDescent="0.2"/>
  </sheetData>
  <mergeCells count="6">
    <mergeCell ref="C68:E68"/>
    <mergeCell ref="C43:E43"/>
    <mergeCell ref="K68:N68"/>
    <mergeCell ref="K51:M51"/>
    <mergeCell ref="F46:G46"/>
    <mergeCell ref="F47:G47"/>
  </mergeCells>
  <conditionalFormatting sqref="C49:C52">
    <cfRule type="expression" priority="11">
      <formula>ValSelect=Metrics2</formula>
    </cfRule>
    <cfRule type="expression" priority="20">
      <formula>ValSelect&lt;&gt;Metrics1</formula>
    </cfRule>
    <cfRule type="expression" dxfId="7" priority="21">
      <formula>ValSelect=Metrics1</formula>
    </cfRule>
  </conditionalFormatting>
  <conditionalFormatting sqref="D49:D52">
    <cfRule type="expression" priority="18">
      <formula>ValSelect&lt;&gt;Metrics2</formula>
    </cfRule>
    <cfRule type="expression" dxfId="6" priority="19" stopIfTrue="1">
      <formula>ValSelect=Metrics2</formula>
    </cfRule>
  </conditionalFormatting>
  <conditionalFormatting sqref="E49:E52">
    <cfRule type="expression" priority="16">
      <formula>ValSelect&lt;&gt;Metrics3</formula>
    </cfRule>
    <cfRule type="expression" dxfId="5" priority="17">
      <formula>ValSelect=Metrics3</formula>
    </cfRule>
  </conditionalFormatting>
  <conditionalFormatting sqref="F49:F52">
    <cfRule type="expression" priority="14">
      <formula>ValSelect&lt;&gt;Metrics4</formula>
    </cfRule>
    <cfRule type="expression" dxfId="4" priority="15">
      <formula>ValSelect=Metrics4</formula>
    </cfRule>
  </conditionalFormatting>
  <conditionalFormatting sqref="G49:G52">
    <cfRule type="expression" priority="12">
      <formula>ValSelect&lt;&gt;Metrics5</formula>
    </cfRule>
    <cfRule type="expression" dxfId="3" priority="13">
      <formula>ValSelect=Metrics5</formula>
    </cfRule>
  </conditionalFormatting>
  <conditionalFormatting sqref="L53:W65">
    <cfRule type="containsText" dxfId="2" priority="3" operator="containsText" text="▬">
      <formula>NOT(ISERROR(SEARCH("▬",L53)))</formula>
    </cfRule>
  </conditionalFormatting>
  <dataValidations count="1">
    <dataValidation type="list" allowBlank="1" showInputMessage="1" showErrorMessage="1" sqref="F47">
      <formula1>B$8:$H$8</formula1>
    </dataValidation>
  </dataValidations>
  <pageMargins left="0.7" right="0.7" top="0.75" bottom="0.75" header="0.3" footer="0.3"/>
  <pageSetup orientation="portrait" r:id="rId1"/>
  <drawing r:id="rId2"/>
  <legacyDrawing r:id="rId3"/>
  <controls>
    <mc:AlternateContent xmlns:mc="http://schemas.openxmlformats.org/markup-compatibility/2006">
      <mc:Choice Requires="x14">
        <control shapeId="1028" r:id="rId4" name="TIButton1">
          <controlPr defaultSize="0" print="0" autoLine="0" r:id="rId5">
            <anchor moveWithCells="1">
              <from>
                <xdr:col>10</xdr:col>
                <xdr:colOff>47625</xdr:colOff>
                <xdr:row>45</xdr:row>
                <xdr:rowOff>161925</xdr:rowOff>
              </from>
              <to>
                <xdr:col>10</xdr:col>
                <xdr:colOff>1476375</xdr:colOff>
                <xdr:row>47</xdr:row>
                <xdr:rowOff>66675</xdr:rowOff>
              </to>
            </anchor>
          </controlPr>
        </control>
      </mc:Choice>
      <mc:Fallback>
        <control shapeId="1028" r:id="rId4" name="TIButton1"/>
      </mc:Fallback>
    </mc:AlternateContent>
  </control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D959773F-1D89-43B7-92EB-713395A285F7}">
            <xm:f>NOT(ISERROR(SEARCH($Z$23,L53)))</xm:f>
            <xm:f>$Z$23</xm:f>
            <x14:dxf>
              <font>
                <color rgb="FFFF0000"/>
              </font>
            </x14:dxf>
          </x14:cfRule>
          <x14:cfRule type="containsText" priority="1" operator="containsText" id="{A3488E45-0308-4BD7-AFA7-B6C9518CAD9E}">
            <xm:f>NOT(ISERROR(SEARCH($AA$23,L53)))</xm:f>
            <xm:f>$AA$23</xm:f>
            <x14:dxf>
              <font>
                <color rgb="FF92D050"/>
              </font>
            </x14:dxf>
          </x14:cfRule>
          <xm:sqref>L53:W65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HeadingPairs>
  <TitlesOfParts>
    <vt:vector size="8" baseType="lpstr">
      <vt:lpstr>Sheet0</vt:lpstr>
      <vt:lpstr>Dashboard</vt:lpstr>
      <vt:lpstr>Metrics1</vt:lpstr>
      <vt:lpstr>Metrics2</vt:lpstr>
      <vt:lpstr>Metrics3</vt:lpstr>
      <vt:lpstr>Metrics4</vt:lpstr>
      <vt:lpstr>Metrics5</vt:lpstr>
      <vt:lpstr>ValSelect</vt:lpstr>
    </vt:vector>
  </TitlesOfParts>
  <Company>IBM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NetworkLayer</cp:lastModifiedBy>
  <dcterms:created xsi:type="dcterms:W3CDTF">2014-12-08T21:36:58Z</dcterms:created>
  <dcterms:modified xsi:type="dcterms:W3CDTF">2015-08-21T17:56:11Z</dcterms:modified>
</cp:coreProperties>
</file>