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3775687B-12D3-4AFD-AAFF-F9BF8C5C821C}" xr6:coauthVersionLast="47" xr6:coauthVersionMax="47" xr10:uidLastSave="{00000000-0000-0000-0000-000000000000}"/>
  <bookViews>
    <workbookView xWindow="-120" yWindow="-120" windowWidth="27120" windowHeight="16590" firstSheet="1" activeTab="1" xr2:uid="{C8CB25C3-3C9A-492C-A87C-FBF47BC01A4E}"/>
  </bookViews>
  <sheets>
    <sheet name="Cognos_Office_Connection_Cache" sheetId="2" state="veryHidden" r:id="rId1"/>
    <sheet name="Sheet1" sheetId="1" r:id="rId2"/>
  </sheets>
  <definedNames>
    <definedName name="ID" localSheetId="0" hidden="1">"32873a89-8a23-4b64-b51d-bc05c36f55ba"</definedName>
    <definedName name="ID" localSheetId="1" hidden="1">"378910ad-22ce-4123-aeaf-3bb4c7fe7268"</definedName>
    <definedName name="TM1RPTDATARNG11214159" localSheetId="1">Sheet1!$24:$33</definedName>
    <definedName name="TM1RPTFMTIDCOL11214159" localSheetId="1">Sheet1!$B$3:$B$12</definedName>
    <definedName name="TM1RPTFMTRNG11214159" localSheetId="1">Sheet1!$C$3:$N$12</definedName>
    <definedName name="TM1RPTQRYRNG11214159" localSheetId="1">Sheet1!$C$13</definedName>
    <definedName name="TM1RPTVIEWRNG11214159" localSheetId="1">Sheet1!$C$14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25" i="1"/>
  <c r="B26" i="1"/>
  <c r="B28" i="1"/>
  <c r="B27" i="1"/>
  <c r="B29" i="1"/>
  <c r="B32" i="1"/>
  <c r="B30" i="1"/>
  <c r="B33" i="1"/>
  <c r="B31" i="1"/>
  <c r="D19" i="1"/>
  <c r="D18" i="1"/>
  <c r="B24" i="1"/>
  <c r="D20" i="1"/>
  <c r="D17" i="1"/>
  <c r="D16" i="1"/>
  <c r="C14" i="1" s="1"/>
  <c r="C24" i="1"/>
  <c r="J24" i="1" s="1"/>
  <c r="K24" i="1"/>
  <c r="L24" i="1"/>
  <c r="M24" i="1"/>
  <c r="D24" i="1"/>
  <c r="E24" i="1"/>
  <c r="G24" i="1"/>
  <c r="H24" i="1"/>
  <c r="I24" i="1"/>
  <c r="N24" i="1"/>
  <c r="D33" i="1"/>
  <c r="E33" i="1"/>
  <c r="E32" i="1"/>
  <c r="I33" i="1"/>
  <c r="D30" i="1"/>
  <c r="E31" i="1"/>
  <c r="J31" i="1"/>
  <c r="G33" i="1"/>
  <c r="I31" i="1"/>
  <c r="K33" i="1"/>
  <c r="D32" i="1"/>
  <c r="G30" i="1"/>
  <c r="G32" i="1"/>
  <c r="I30" i="1"/>
  <c r="L33" i="1"/>
  <c r="D31" i="1"/>
  <c r="G31" i="1"/>
  <c r="H30" i="1"/>
  <c r="H33" i="1"/>
  <c r="M33" i="1"/>
  <c r="E30" i="1"/>
  <c r="H31" i="1"/>
  <c r="H32" i="1"/>
  <c r="I32" i="1"/>
  <c r="J30" i="1"/>
  <c r="J32" i="1"/>
  <c r="J33" i="1"/>
  <c r="K30" i="1"/>
  <c r="K31" i="1"/>
  <c r="K32" i="1"/>
  <c r="L30" i="1"/>
  <c r="L31" i="1"/>
  <c r="L32" i="1"/>
  <c r="M30" i="1"/>
  <c r="M31" i="1"/>
  <c r="M32" i="1"/>
  <c r="N30" i="1"/>
  <c r="N31" i="1"/>
  <c r="N32" i="1"/>
  <c r="N33" i="1"/>
  <c r="I29" i="1"/>
  <c r="D28" i="1"/>
  <c r="H29" i="1"/>
  <c r="J29" i="1"/>
  <c r="D29" i="1"/>
  <c r="H28" i="1"/>
  <c r="J27" i="1"/>
  <c r="J28" i="1"/>
  <c r="K27" i="1"/>
  <c r="K28" i="1"/>
  <c r="K29" i="1"/>
  <c r="G29" i="1"/>
  <c r="D27" i="1"/>
  <c r="E27" i="1"/>
  <c r="G27" i="1"/>
  <c r="H27" i="1"/>
  <c r="I28" i="1"/>
  <c r="L27" i="1"/>
  <c r="L28" i="1"/>
  <c r="M27" i="1"/>
  <c r="M28" i="1"/>
  <c r="M29" i="1"/>
  <c r="E28" i="1"/>
  <c r="E29" i="1"/>
  <c r="G28" i="1"/>
  <c r="I27" i="1"/>
  <c r="L29" i="1"/>
  <c r="N27" i="1"/>
  <c r="N28" i="1"/>
  <c r="N29" i="1"/>
  <c r="E26" i="1"/>
  <c r="D26" i="1"/>
  <c r="G25" i="1"/>
  <c r="H25" i="1"/>
  <c r="I26" i="1"/>
  <c r="J26" i="1"/>
  <c r="K25" i="1"/>
  <c r="L25" i="1"/>
  <c r="L26" i="1"/>
  <c r="M25" i="1"/>
  <c r="M26" i="1"/>
  <c r="D25" i="1"/>
  <c r="E25" i="1"/>
  <c r="G26" i="1"/>
  <c r="H26" i="1"/>
  <c r="I25" i="1"/>
  <c r="J25" i="1"/>
  <c r="K26" i="1"/>
  <c r="N25" i="1"/>
  <c r="N26" i="1"/>
  <c r="F25" i="1" l="1"/>
  <c r="F26" i="1"/>
  <c r="F27" i="1"/>
  <c r="F29" i="1"/>
  <c r="F28" i="1"/>
  <c r="F31" i="1"/>
  <c r="F32" i="1"/>
  <c r="F30" i="1"/>
  <c r="F33" i="1"/>
  <c r="F24" i="1"/>
  <c r="G21" i="1"/>
</calcChain>
</file>

<file path=xl/sharedStrings.xml><?xml version="1.0" encoding="utf-8"?>
<sst xmlns="http://schemas.openxmlformats.org/spreadsheetml/2006/main" count="37" uniqueCount="30">
  <si>
    <t>Phones</t>
  </si>
  <si>
    <t>4G Smart Phone</t>
  </si>
  <si>
    <t>4G 32Gb black</t>
  </si>
  <si>
    <t>4G 32Gb white</t>
  </si>
  <si>
    <t>4G 64Gb</t>
  </si>
  <si>
    <t>5G Smart Phone</t>
  </si>
  <si>
    <t>5G 64Gb</t>
  </si>
  <si>
    <t>5G 128Gb</t>
  </si>
  <si>
    <t>Phone Only</t>
  </si>
  <si>
    <t>L40</t>
  </si>
  <si>
    <t>East Region</t>
  </si>
  <si>
    <t>Massachusetts</t>
  </si>
  <si>
    <t>Maryland</t>
  </si>
  <si>
    <t>Florida</t>
  </si>
  <si>
    <t>Central Region</t>
  </si>
  <si>
    <t>Michigan</t>
  </si>
  <si>
    <t>Illinois</t>
  </si>
  <si>
    <t>West Region</t>
  </si>
  <si>
    <t>Canada</t>
  </si>
  <si>
    <t>[Begin Format Range]</t>
  </si>
  <si>
    <t>Default</t>
  </si>
  <si>
    <t>Leaf</t>
  </si>
  <si>
    <t>[End Format Range]</t>
  </si>
  <si>
    <t>Element Name</t>
  </si>
  <si>
    <t>Revenue</t>
  </si>
  <si>
    <t>Month</t>
  </si>
  <si>
    <t>Channel</t>
  </si>
  <si>
    <t>Year</t>
  </si>
  <si>
    <t>Version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</si>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</sst>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#,##0;\(#,##0\)"/>
    <numFmt numFmtId="168" formatCode="\-\ @"/>
    <numFmt numFmtId="169" formatCode="\+\ @"/>
  </numFmts>
  <fonts count="10" x14ac:knownFonts="1"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6">
    <xf numFmtId="0" fontId="0" fillId="0" borderId="0"/>
    <xf numFmtId="0" fontId="1" fillId="0" borderId="1" applyNumberFormat="0" applyFill="0" applyProtection="0">
      <alignment horizontal="center" vertical="center"/>
    </xf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0" fontId="2" fillId="0" borderId="2" applyNumberFormat="0" applyFill="0" applyAlignment="0" applyProtection="0"/>
    <xf numFmtId="0" fontId="2" fillId="0" borderId="2" applyNumberFormat="0" applyFill="0" applyAlignment="0" applyProtection="0"/>
    <xf numFmtId="0" fontId="2" fillId="0" borderId="2">
      <alignment horizontal="right" vertical="center"/>
    </xf>
    <xf numFmtId="3" fontId="2" fillId="2" borderId="2">
      <alignment horizontal="center" vertical="center"/>
    </xf>
    <xf numFmtId="0" fontId="2" fillId="2" borderId="2">
      <alignment horizontal="right" vertical="center"/>
    </xf>
    <xf numFmtId="0" fontId="1" fillId="0" borderId="3">
      <alignment horizontal="left" vertical="center"/>
    </xf>
    <xf numFmtId="0" fontId="1" fillId="0" borderId="4">
      <alignment horizontal="center" vertical="center"/>
    </xf>
    <xf numFmtId="0" fontId="3" fillId="0" borderId="5">
      <alignment horizontal="center" vertical="center"/>
    </xf>
    <xf numFmtId="0" fontId="2" fillId="3" borderId="2"/>
    <xf numFmtId="3" fontId="4" fillId="0" borderId="2"/>
    <xf numFmtId="3" fontId="5" fillId="0" borderId="2"/>
    <xf numFmtId="0" fontId="1" fillId="0" borderId="4">
      <alignment horizontal="left" vertical="top"/>
    </xf>
    <xf numFmtId="0" fontId="6" fillId="0" borderId="2"/>
    <xf numFmtId="0" fontId="1" fillId="0" borderId="4">
      <alignment horizontal="left" vertical="center"/>
    </xf>
    <xf numFmtId="0" fontId="2" fillId="2" borderId="6"/>
    <xf numFmtId="3" fontId="2" fillId="0" borderId="2">
      <alignment horizontal="right" vertical="center"/>
    </xf>
    <xf numFmtId="0" fontId="1" fillId="0" borderId="4">
      <alignment horizontal="right" vertical="center"/>
    </xf>
    <xf numFmtId="0" fontId="2" fillId="0" borderId="5">
      <alignment horizontal="center" vertical="center"/>
    </xf>
    <xf numFmtId="3" fontId="2" fillId="0" borderId="2"/>
    <xf numFmtId="3" fontId="2" fillId="0" borderId="2"/>
    <xf numFmtId="0" fontId="2" fillId="0" borderId="5">
      <alignment horizontal="center" vertical="center" wrapText="1"/>
    </xf>
    <xf numFmtId="0" fontId="7" fillId="0" borderId="5">
      <alignment horizontal="left" vertical="center" indent="1"/>
    </xf>
    <xf numFmtId="0" fontId="8" fillId="0" borderId="2"/>
    <xf numFmtId="0" fontId="1" fillId="0" borderId="3">
      <alignment horizontal="left" vertical="center"/>
    </xf>
    <xf numFmtId="3" fontId="2" fillId="0" borderId="2">
      <alignment horizontal="center" vertical="center"/>
    </xf>
    <xf numFmtId="0" fontId="1" fillId="0" borderId="4">
      <alignment horizontal="center" vertical="center"/>
    </xf>
    <xf numFmtId="0" fontId="1" fillId="0" borderId="4">
      <alignment horizontal="center" vertical="center"/>
    </xf>
    <xf numFmtId="0" fontId="1" fillId="0" borderId="3">
      <alignment horizontal="left" vertical="center"/>
    </xf>
    <xf numFmtId="0" fontId="1" fillId="0" borderId="3">
      <alignment horizontal="left" vertical="center"/>
    </xf>
    <xf numFmtId="0" fontId="9" fillId="0" borderId="2"/>
  </cellStyleXfs>
  <cellXfs count="37">
    <xf numFmtId="0" fontId="0" fillId="0" borderId="0" xfId="0"/>
    <xf numFmtId="167" fontId="0" fillId="0" borderId="0" xfId="0" applyNumberFormat="1"/>
    <xf numFmtId="0" fontId="0" fillId="0" borderId="0" xfId="0" quotePrefix="1"/>
    <xf numFmtId="0" fontId="2" fillId="0" borderId="0" xfId="19" applyNumberFormat="1"/>
    <xf numFmtId="0" fontId="1" fillId="0" borderId="1" xfId="11" applyNumberFormat="1"/>
    <xf numFmtId="3" fontId="2" fillId="0" borderId="2" xfId="3"/>
    <xf numFmtId="0" fontId="2" fillId="0" borderId="0" xfId="20" applyNumberFormat="1"/>
    <xf numFmtId="0" fontId="1" fillId="0" borderId="1" xfId="12" applyNumberFormat="1"/>
    <xf numFmtId="3" fontId="2" fillId="0" borderId="2" xfId="4"/>
    <xf numFmtId="0" fontId="2" fillId="0" borderId="0" xfId="21" applyNumberFormat="1"/>
    <xf numFmtId="0" fontId="1" fillId="0" borderId="1" xfId="13" applyNumberFormat="1"/>
    <xf numFmtId="3" fontId="2" fillId="0" borderId="2" xfId="5"/>
    <xf numFmtId="0" fontId="2" fillId="0" borderId="0" xfId="22" applyNumberFormat="1"/>
    <xf numFmtId="0" fontId="1" fillId="0" borderId="1" xfId="14" applyNumberFormat="1"/>
    <xf numFmtId="3" fontId="2" fillId="0" borderId="2" xfId="6"/>
    <xf numFmtId="0" fontId="2" fillId="0" borderId="0" xfId="23" applyNumberFormat="1" applyBorder="1"/>
    <xf numFmtId="0" fontId="1" fillId="0" borderId="1" xfId="15" applyNumberFormat="1"/>
    <xf numFmtId="3" fontId="2" fillId="0" borderId="2" xfId="7"/>
    <xf numFmtId="0" fontId="2" fillId="0" borderId="0" xfId="24" applyNumberFormat="1" applyBorder="1"/>
    <xf numFmtId="0" fontId="1" fillId="0" borderId="1" xfId="16" applyNumberFormat="1"/>
    <xf numFmtId="3" fontId="2" fillId="0" borderId="2" xfId="8"/>
    <xf numFmtId="0" fontId="2" fillId="0" borderId="0" xfId="18" quotePrefix="1" applyNumberFormat="1"/>
    <xf numFmtId="0" fontId="2" fillId="0" borderId="0" xfId="18" applyNumberFormat="1"/>
    <xf numFmtId="0" fontId="1" fillId="0" borderId="1" xfId="10" applyNumberFormat="1"/>
    <xf numFmtId="3" fontId="2" fillId="0" borderId="2" xfId="2"/>
    <xf numFmtId="0" fontId="2" fillId="0" borderId="0" xfId="25" quotePrefix="1" applyNumberFormat="1" applyBorder="1"/>
    <xf numFmtId="0" fontId="2" fillId="0" borderId="0" xfId="25" applyNumberFormat="1" applyBorder="1"/>
    <xf numFmtId="0" fontId="1" fillId="0" borderId="1" xfId="17" applyNumberFormat="1"/>
    <xf numFmtId="3" fontId="2" fillId="0" borderId="2" xfId="9"/>
    <xf numFmtId="0" fontId="2" fillId="0" borderId="2" xfId="27" quotePrefix="1"/>
    <xf numFmtId="0" fontId="2" fillId="0" borderId="2" xfId="26"/>
    <xf numFmtId="0" fontId="1" fillId="0" borderId="1" xfId="1" quotePrefix="1">
      <alignment horizontal="center" vertical="center"/>
    </xf>
    <xf numFmtId="168" fontId="1" fillId="0" borderId="1" xfId="11" applyNumberFormat="1" applyAlignment="1"/>
    <xf numFmtId="168" fontId="1" fillId="0" borderId="1" xfId="12" applyNumberFormat="1" applyAlignment="1">
      <alignment horizontal="left" indent="1"/>
    </xf>
    <xf numFmtId="49" fontId="1" fillId="0" borderId="1" xfId="17" applyNumberFormat="1" applyAlignment="1">
      <alignment horizontal="left" indent="2"/>
    </xf>
    <xf numFmtId="3" fontId="0" fillId="0" borderId="0" xfId="0" applyNumberFormat="1"/>
    <xf numFmtId="169" fontId="1" fillId="0" borderId="1" xfId="12" applyNumberFormat="1" applyAlignment="1">
      <alignment horizontal="left" indent="1"/>
    </xf>
  </cellXfs>
  <cellStyles count="56">
    <cellStyle name="AF Column - IBM Cognos" xfId="1" xr:uid="{CA9A9582-93A4-4C68-8EEC-6E980788AE15}"/>
    <cellStyle name="AF Data - IBM Cognos" xfId="2" xr:uid="{5ED91C8B-F893-4587-B79C-F9B1458E4C6E}"/>
    <cellStyle name="AF Data 0 - IBM Cognos" xfId="3" xr:uid="{0236603A-17C0-439F-968F-5D528F5A8944}"/>
    <cellStyle name="AF Data 1 - IBM Cognos" xfId="4" xr:uid="{A9DD7E74-6116-4B22-9618-A5423E457156}"/>
    <cellStyle name="AF Data 2 - IBM Cognos" xfId="5" xr:uid="{9F85C714-50BB-4D6C-8D00-6103FE7D843E}"/>
    <cellStyle name="AF Data 3 - IBM Cognos" xfId="6" xr:uid="{E2A63353-B567-4099-8241-9ECD9613DFF8}"/>
    <cellStyle name="AF Data 4 - IBM Cognos" xfId="7" xr:uid="{75B9A65B-18EC-4635-A049-8ED609F21333}"/>
    <cellStyle name="AF Data 5 - IBM Cognos" xfId="8" xr:uid="{F1868BBE-3007-4271-81CE-E0393B1D4F31}"/>
    <cellStyle name="AF Data Leaf - IBM Cognos" xfId="9" xr:uid="{01B28E9E-1AE5-4931-9471-955031D7D8AA}"/>
    <cellStyle name="AF Header - IBM Cognos" xfId="10" xr:uid="{2C4A30E5-72F8-42A4-B3A7-1E98EA5ACCBD}"/>
    <cellStyle name="AF Header 0 - IBM Cognos" xfId="11" xr:uid="{34335986-BE0A-4A6C-8041-59520FC2E472}"/>
    <cellStyle name="AF Header 1 - IBM Cognos" xfId="12" xr:uid="{BA9036AF-0827-455E-8A34-F41742BC00CE}"/>
    <cellStyle name="AF Header 2 - IBM Cognos" xfId="13" xr:uid="{8182BA58-3140-4AA7-A361-F4A58AD0DC70}"/>
    <cellStyle name="AF Header 3 - IBM Cognos" xfId="14" xr:uid="{8E0BF47B-8F1D-4F46-9EB8-651E0127F0D2}"/>
    <cellStyle name="AF Header 4 - IBM Cognos" xfId="15" xr:uid="{68B4D655-362C-4978-9773-E3C12EF8FB42}"/>
    <cellStyle name="AF Header 5 - IBM Cognos" xfId="16" xr:uid="{1BAAED0F-66C6-4D3E-8833-5958B6AD3A1F}"/>
    <cellStyle name="AF Header Leaf - IBM Cognos" xfId="17" xr:uid="{6E2FC81C-9F00-4939-9E53-404275DE86CB}"/>
    <cellStyle name="AF Row - IBM Cognos" xfId="18" xr:uid="{422708C8-A01B-480A-8B63-5EF8798CDDD8}"/>
    <cellStyle name="AF Row 0 - IBM Cognos" xfId="19" xr:uid="{96F0526B-C7DF-4C52-86BA-3C1045BDB6FD}"/>
    <cellStyle name="AF Row 1 - IBM Cognos" xfId="20" xr:uid="{3A2D25D9-1733-48CC-BB13-3690F4A72322}"/>
    <cellStyle name="AF Row 2 - IBM Cognos" xfId="21" xr:uid="{9A2CCC8B-98BE-48EF-8C09-1CFDA57485A8}"/>
    <cellStyle name="AF Row 3 - IBM Cognos" xfId="22" xr:uid="{8F717BA4-7560-46F0-B541-D7F60E5CAFF7}"/>
    <cellStyle name="AF Row 4 - IBM Cognos" xfId="23" xr:uid="{FD1736F4-24FF-4488-BE75-3C2C7A239B75}"/>
    <cellStyle name="AF Row 5 - IBM Cognos" xfId="24" xr:uid="{F181C6EC-3C33-48A6-B130-61E7074C36DC}"/>
    <cellStyle name="AF Row Leaf - IBM Cognos" xfId="25" xr:uid="{64D8F174-4D32-4BD2-AA8C-A3E6BFBA82B9}"/>
    <cellStyle name="AF Subnm - IBM Cognos" xfId="26" xr:uid="{594B25F0-0FB5-48FF-8CE5-F4DE6138DB7E}"/>
    <cellStyle name="AF Title - IBM Cognos" xfId="27" xr:uid="{1BB34B3F-7D15-4DB4-AE1B-BFF4AE5BB403}"/>
    <cellStyle name="Calculated Column - IBM Cognos" xfId="28" xr:uid="{735159CC-6083-4876-B119-89A476522F23}"/>
    <cellStyle name="Calculated Column Name - IBM Cognos" xfId="29" xr:uid="{F624F3D4-4D97-4C31-8860-71270354CF96}"/>
    <cellStyle name="Calculated Row - IBM Cognos" xfId="30" xr:uid="{5113A370-663C-4331-86C0-008959E18438}"/>
    <cellStyle name="Calculated Row Name - IBM Cognos" xfId="31" xr:uid="{9C195886-12DC-4320-BB73-1456D62AF9F4}"/>
    <cellStyle name="Column Name - IBM Cognos" xfId="32" xr:uid="{CEEB5DA5-26FA-465F-93FF-DE6D0272CC47}"/>
    <cellStyle name="Column Template - IBM Cognos" xfId="33" xr:uid="{F56DF4DC-5B68-4E41-A834-D39B1A5F30B8}"/>
    <cellStyle name="Differs From Base - IBM Cognos" xfId="34" xr:uid="{C05EAED1-E820-4642-BC47-752F054EB4FF}"/>
    <cellStyle name="Edit - IBM Cognos" xfId="35" xr:uid="{E7932D0B-C334-43AB-BE84-2801BD4CBCC4}"/>
    <cellStyle name="Formula - IBM Cognos" xfId="36" xr:uid="{26CF7CB1-67CB-4BCE-9FDD-E5D36BF703BA}"/>
    <cellStyle name="Group Name - IBM Cognos" xfId="37" xr:uid="{043DF491-7EB7-4219-B6AB-0FB1ADF901B5}"/>
    <cellStyle name="Hold Values - IBM Cognos" xfId="38" xr:uid="{A8400410-5FF5-4009-8FD3-B9630C7D4FA3}"/>
    <cellStyle name="List Name - IBM Cognos" xfId="39" xr:uid="{89FE5490-8F27-423D-B04D-AA18989AF903}"/>
    <cellStyle name="Locked - IBM Cognos" xfId="40" xr:uid="{C6A29E86-6A03-422A-BB39-0218DFCB5ACD}"/>
    <cellStyle name="Measure - IBM Cognos" xfId="41" xr:uid="{61C02913-BD81-49B5-A71A-CD701FCDAE2D}"/>
    <cellStyle name="Measure Header - IBM Cognos" xfId="42" xr:uid="{D0D4D033-A107-451C-A471-343819118746}"/>
    <cellStyle name="Measure Name - IBM Cognos" xfId="43" xr:uid="{23CF2D81-52B2-45E4-BA77-C97345F89EC3}"/>
    <cellStyle name="Measure Summary - IBM Cognos" xfId="44" xr:uid="{2D7FB0E1-E94E-4164-9A55-71E982EF0E07}"/>
    <cellStyle name="Measure Summary TM1 - IBM Cognos" xfId="45" xr:uid="{DB366209-0472-49C4-8DBE-98337611B6D4}"/>
    <cellStyle name="Measure Template - IBM Cognos" xfId="46" xr:uid="{126506DB-6060-4221-8F18-71A58E19133F}"/>
    <cellStyle name="More - IBM Cognos" xfId="47" xr:uid="{26DA6D76-3A2E-4487-916E-92831EE7CA08}"/>
    <cellStyle name="Normal" xfId="0" builtinId="0" customBuiltin="1"/>
    <cellStyle name="Pending Change - IBM Cognos" xfId="48" xr:uid="{AC036810-C789-43ED-BD0B-CD677BD0144F}"/>
    <cellStyle name="Row Name - IBM Cognos" xfId="49" xr:uid="{38533222-6CE9-4A5F-BDF2-5B652567A3F3}"/>
    <cellStyle name="Row Template - IBM Cognos" xfId="50" xr:uid="{6659C2D0-6EFC-47BA-A460-5D5A3382D1BA}"/>
    <cellStyle name="Summary Column Name - IBM Cognos" xfId="51" xr:uid="{5A982D3B-D588-4C90-A811-7FD9259E0C29}"/>
    <cellStyle name="Summary Column Name TM1 - IBM Cognos" xfId="52" xr:uid="{BACE2AB5-ACAF-4D4A-BDA8-1FF700120825}"/>
    <cellStyle name="Summary Row Name - IBM Cognos" xfId="53" xr:uid="{85022896-D9B0-4423-A72A-4D340C4459AC}"/>
    <cellStyle name="Summary Row Name TM1 - IBM Cognos" xfId="54" xr:uid="{5FD5A563-397E-49F4-B7BC-A1256AFF7D84}"/>
    <cellStyle name="Unsaved Change - IBM Cognos" xfId="55" xr:uid="{6FB5CA6F-23BB-4501-AA05-26E346C333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6585-DECE-4DF5-B131-D8C22D37CE8D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AB18-5C7C-43D4-822E-23A9063701C6}">
  <dimension ref="B2:N33"/>
  <sheetViews>
    <sheetView tabSelected="1" workbookViewId="0"/>
  </sheetViews>
  <sheetFormatPr defaultRowHeight="15" x14ac:dyDescent="0.25"/>
  <cols>
    <col min="1" max="1" width="2.7109375" customWidth="1"/>
    <col min="2" max="2" width="25.7109375" hidden="1" customWidth="1"/>
    <col min="3" max="3" width="25.7109375" customWidth="1"/>
    <col min="4" max="4" width="7.5703125" bestFit="1" customWidth="1"/>
    <col min="5" max="5" width="14.7109375" bestFit="1" customWidth="1"/>
    <col min="6" max="6" width="14.7109375" customWidth="1"/>
    <col min="7" max="7" width="13.140625" bestFit="1" customWidth="1"/>
    <col min="8" max="8" width="13.42578125" bestFit="1" customWidth="1"/>
    <col min="9" max="9" width="8.140625" bestFit="1" customWidth="1"/>
    <col min="10" max="10" width="14.7109375" bestFit="1" customWidth="1"/>
    <col min="11" max="11" width="8.140625" bestFit="1" customWidth="1"/>
    <col min="13" max="13" width="10.7109375" bestFit="1" customWidth="1"/>
    <col min="14" max="14" width="6.5703125" bestFit="1" customWidth="1"/>
  </cols>
  <sheetData>
    <row r="2" spans="2:14" x14ac:dyDescent="0.25">
      <c r="C2" s="1">
        <f>D14+E14</f>
        <v>0</v>
      </c>
    </row>
    <row r="3" spans="2:14" hidden="1" x14ac:dyDescent="0.25">
      <c r="B3" s="2" t="s">
        <v>19</v>
      </c>
    </row>
    <row r="4" spans="2:14" s="3" customFormat="1" hidden="1" thickBot="1" x14ac:dyDescent="0.3">
      <c r="B4" s="3">
        <v>0</v>
      </c>
      <c r="C4" s="4" t="s">
        <v>23</v>
      </c>
      <c r="D4" s="5">
        <v>123.456789</v>
      </c>
      <c r="E4" s="5">
        <v>123.456789</v>
      </c>
      <c r="F4" s="5"/>
      <c r="G4" s="5">
        <v>123.456789</v>
      </c>
      <c r="H4" s="5">
        <v>123.456789</v>
      </c>
      <c r="I4" s="5">
        <v>123.456789</v>
      </c>
      <c r="J4" s="5">
        <v>123.456789</v>
      </c>
      <c r="K4" s="5">
        <v>123.456789</v>
      </c>
      <c r="L4" s="5">
        <v>123.456789</v>
      </c>
      <c r="M4" s="5">
        <v>123.456789</v>
      </c>
      <c r="N4" s="5">
        <v>123.456789</v>
      </c>
    </row>
    <row r="5" spans="2:14" s="6" customFormat="1" hidden="1" thickBot="1" x14ac:dyDescent="0.3">
      <c r="B5" s="6">
        <v>1</v>
      </c>
      <c r="C5" s="7" t="s">
        <v>23</v>
      </c>
      <c r="D5" s="8">
        <v>123.456789</v>
      </c>
      <c r="E5" s="8">
        <v>123.456789</v>
      </c>
      <c r="F5" s="8"/>
      <c r="G5" s="8">
        <v>123.456789</v>
      </c>
      <c r="H5" s="8">
        <v>123.456789</v>
      </c>
      <c r="I5" s="8">
        <v>123.456789</v>
      </c>
      <c r="J5" s="8">
        <v>123.456789</v>
      </c>
      <c r="K5" s="8">
        <v>123.456789</v>
      </c>
      <c r="L5" s="8">
        <v>123.456789</v>
      </c>
      <c r="M5" s="8">
        <v>123.456789</v>
      </c>
      <c r="N5" s="8">
        <v>123.456789</v>
      </c>
    </row>
    <row r="6" spans="2:14" s="9" customFormat="1" hidden="1" thickBot="1" x14ac:dyDescent="0.3">
      <c r="B6" s="9">
        <v>2</v>
      </c>
      <c r="C6" s="10" t="s">
        <v>23</v>
      </c>
      <c r="D6" s="11">
        <v>123.456789</v>
      </c>
      <c r="E6" s="11">
        <v>123.456789</v>
      </c>
      <c r="F6" s="11"/>
      <c r="G6" s="11">
        <v>123.456789</v>
      </c>
      <c r="H6" s="11">
        <v>123.456789</v>
      </c>
      <c r="I6" s="11">
        <v>123.456789</v>
      </c>
      <c r="J6" s="11">
        <v>123.456789</v>
      </c>
      <c r="K6" s="11">
        <v>123.456789</v>
      </c>
      <c r="L6" s="11">
        <v>123.456789</v>
      </c>
      <c r="M6" s="11">
        <v>123.456789</v>
      </c>
      <c r="N6" s="11">
        <v>123.456789</v>
      </c>
    </row>
    <row r="7" spans="2:14" s="12" customFormat="1" hidden="1" thickBot="1" x14ac:dyDescent="0.3">
      <c r="B7" s="12">
        <v>3</v>
      </c>
      <c r="C7" s="13" t="s">
        <v>23</v>
      </c>
      <c r="D7" s="14">
        <v>123.456789</v>
      </c>
      <c r="E7" s="14">
        <v>123.456789</v>
      </c>
      <c r="F7" s="14"/>
      <c r="G7" s="14">
        <v>123.456789</v>
      </c>
      <c r="H7" s="14">
        <v>123.456789</v>
      </c>
      <c r="I7" s="14">
        <v>123.456789</v>
      </c>
      <c r="J7" s="14">
        <v>123.456789</v>
      </c>
      <c r="K7" s="14">
        <v>123.456789</v>
      </c>
      <c r="L7" s="14">
        <v>123.456789</v>
      </c>
      <c r="M7" s="14">
        <v>123.456789</v>
      </c>
      <c r="N7" s="14">
        <v>123.456789</v>
      </c>
    </row>
    <row r="8" spans="2:14" s="15" customFormat="1" hidden="1" thickBot="1" x14ac:dyDescent="0.3">
      <c r="B8" s="15">
        <v>4</v>
      </c>
      <c r="C8" s="16" t="s">
        <v>23</v>
      </c>
      <c r="D8" s="17">
        <v>123.456789</v>
      </c>
      <c r="E8" s="17">
        <v>123.456789</v>
      </c>
      <c r="F8" s="17"/>
      <c r="G8" s="17">
        <v>123.456789</v>
      </c>
      <c r="H8" s="17">
        <v>123.456789</v>
      </c>
      <c r="I8" s="17">
        <v>123.456789</v>
      </c>
      <c r="J8" s="17">
        <v>123.456789</v>
      </c>
      <c r="K8" s="17">
        <v>123.456789</v>
      </c>
      <c r="L8" s="17">
        <v>123.456789</v>
      </c>
      <c r="M8" s="17">
        <v>123.456789</v>
      </c>
      <c r="N8" s="17">
        <v>123.456789</v>
      </c>
    </row>
    <row r="9" spans="2:14" s="18" customFormat="1" hidden="1" thickBot="1" x14ac:dyDescent="0.3">
      <c r="B9" s="18">
        <v>5</v>
      </c>
      <c r="C9" s="19" t="s">
        <v>23</v>
      </c>
      <c r="D9" s="20">
        <v>123.456789</v>
      </c>
      <c r="E9" s="20">
        <v>123.456789</v>
      </c>
      <c r="F9" s="20"/>
      <c r="G9" s="20">
        <v>123.456789</v>
      </c>
      <c r="H9" s="20">
        <v>123.456789</v>
      </c>
      <c r="I9" s="20">
        <v>123.456789</v>
      </c>
      <c r="J9" s="20">
        <v>123.456789</v>
      </c>
      <c r="K9" s="20">
        <v>123.456789</v>
      </c>
      <c r="L9" s="20">
        <v>123.456789</v>
      </c>
      <c r="M9" s="20">
        <v>123.456789</v>
      </c>
      <c r="N9" s="20">
        <v>123.456789</v>
      </c>
    </row>
    <row r="10" spans="2:14" s="22" customFormat="1" hidden="1" thickBot="1" x14ac:dyDescent="0.3">
      <c r="B10" s="21" t="s">
        <v>20</v>
      </c>
      <c r="C10" s="23" t="s">
        <v>23</v>
      </c>
      <c r="D10" s="24">
        <v>123.456789</v>
      </c>
      <c r="E10" s="24">
        <v>123.456789</v>
      </c>
      <c r="F10" s="24"/>
      <c r="G10" s="24">
        <v>123.456789</v>
      </c>
      <c r="H10" s="24">
        <v>123.456789</v>
      </c>
      <c r="I10" s="24">
        <v>123.456789</v>
      </c>
      <c r="J10" s="24">
        <v>123.456789</v>
      </c>
      <c r="K10" s="24">
        <v>123.456789</v>
      </c>
      <c r="L10" s="24">
        <v>123.456789</v>
      </c>
      <c r="M10" s="24">
        <v>123.456789</v>
      </c>
      <c r="N10" s="24">
        <v>123.456789</v>
      </c>
    </row>
    <row r="11" spans="2:14" s="26" customFormat="1" hidden="1" thickBot="1" x14ac:dyDescent="0.3">
      <c r="B11" s="25" t="s">
        <v>21</v>
      </c>
      <c r="C11" s="27" t="s">
        <v>23</v>
      </c>
      <c r="D11" s="28">
        <v>123.456789</v>
      </c>
      <c r="E11" s="28">
        <v>123.456789</v>
      </c>
      <c r="F11" s="28"/>
      <c r="G11" s="28">
        <v>123.456789</v>
      </c>
      <c r="H11" s="28">
        <v>123.456789</v>
      </c>
      <c r="I11" s="28">
        <v>123.456789</v>
      </c>
      <c r="J11" s="28">
        <v>123.456789</v>
      </c>
      <c r="K11" s="28">
        <v>123.456789</v>
      </c>
      <c r="L11" s="28">
        <v>123.456789</v>
      </c>
      <c r="M11" s="28">
        <v>123.456789</v>
      </c>
      <c r="N11" s="28">
        <v>123.456789</v>
      </c>
    </row>
    <row r="12" spans="2:14" hidden="1" x14ac:dyDescent="0.25">
      <c r="B12" s="2" t="s">
        <v>22</v>
      </c>
    </row>
    <row r="13" spans="2:14" hidden="1" x14ac:dyDescent="0.25"/>
    <row r="14" spans="2:14" hidden="1" x14ac:dyDescent="0.25">
      <c r="C14" t="str">
        <f>_xll.TM1RPTVIEW("Region06:Revenue:11214159",0,_xll.TM1RPTTITLE("Region06:Revenue",$D$16),_xll.TM1RPTTITLE("Region06:Month",$D$17),_xll.TM1RPTTITLE("Region06:Channel",$D$18),_xll.TM1RPTTITLE("Region06:Year",$D$19),_xll.TM1RPTTITLE("Region06:Version",$D$20),TM1RPTFMTRNG11214159,TM1RPTFMTIDCOL11214159)</f>
        <v>Region06:Revenue:11214159</v>
      </c>
    </row>
    <row r="16" spans="2:14" x14ac:dyDescent="0.25">
      <c r="C16" s="29" t="s">
        <v>24</v>
      </c>
      <c r="D16" s="30" t="str">
        <f>_xll.SUBNM("Region06:Revenue","Report","Volume - Units","Caption_Default")</f>
        <v>Volume - Units</v>
      </c>
    </row>
    <row r="17" spans="2:14" x14ac:dyDescent="0.25">
      <c r="C17" s="29" t="s">
        <v>25</v>
      </c>
      <c r="D17" s="30" t="str">
        <f>_xll.SUBNM("Region06:Month","MY","Year")</f>
        <v>Year</v>
      </c>
    </row>
    <row r="18" spans="2:14" x14ac:dyDescent="0.25">
      <c r="C18" s="29" t="s">
        <v>26</v>
      </c>
      <c r="D18" s="30" t="str">
        <f>_xll.SUBNM("Region06:Channel","Default","Channel Total","Caption_Default")</f>
        <v>Channel Total</v>
      </c>
    </row>
    <row r="19" spans="2:14" x14ac:dyDescent="0.25">
      <c r="C19" s="29" t="s">
        <v>27</v>
      </c>
      <c r="D19" s="30" t="str">
        <f>_xll.SUBNM("Region06:Year","Default","2022","Caption_Default")</f>
        <v>2022</v>
      </c>
    </row>
    <row r="20" spans="2:14" x14ac:dyDescent="0.25">
      <c r="C20" s="29" t="s">
        <v>28</v>
      </c>
      <c r="D20" s="30" t="str">
        <f>_xll.SUBNM("Region06:Version","Current","Budget","Caption_Default")</f>
        <v>Budget</v>
      </c>
    </row>
    <row r="21" spans="2:14" x14ac:dyDescent="0.25">
      <c r="G21" s="35">
        <f>D24+E24</f>
        <v>158932.06206063423</v>
      </c>
    </row>
    <row r="22" spans="2:14" ht="15.75" thickBot="1" x14ac:dyDescent="0.3"/>
    <row r="23" spans="2:14" ht="15.75" thickBot="1" x14ac:dyDescent="0.3">
      <c r="D23" s="31" t="s">
        <v>0</v>
      </c>
      <c r="E23" s="31" t="s">
        <v>1</v>
      </c>
      <c r="F23" s="31" t="s">
        <v>29</v>
      </c>
      <c r="G23" s="31" t="s">
        <v>2</v>
      </c>
      <c r="H23" s="31" t="s">
        <v>3</v>
      </c>
      <c r="I23" s="31" t="s">
        <v>4</v>
      </c>
      <c r="J23" s="31" t="s">
        <v>5</v>
      </c>
      <c r="K23" s="31" t="s">
        <v>6</v>
      </c>
      <c r="L23" s="31" t="s">
        <v>7</v>
      </c>
      <c r="M23" s="31" t="s">
        <v>8</v>
      </c>
      <c r="N23" s="31" t="s">
        <v>9</v>
      </c>
    </row>
    <row r="24" spans="2:14" s="3" customFormat="1" thickBot="1" x14ac:dyDescent="0.3">
      <c r="B24" s="3">
        <f>IF(_xll.TM1RPTELISCONSOLIDATED($C$24,$C24),IF(_xll.TM1RPTELLEV($C$24,$C24)&lt;=5,_xll.TM1RPTELLEV($C$24,$C24),"Default"),"Leaf")</f>
        <v>0</v>
      </c>
      <c r="C24" s="32" t="str">
        <f>_xll.TM1RPTROW($C$14,"Region06:organization","Workflow",,"Caption_Default")</f>
        <v>Total Company</v>
      </c>
      <c r="D24" s="5">
        <f>_xll.DBRW($C$14,$C24,$D$18,D$23,$D$17,$D$19,$D$20,$D$16)</f>
        <v>109120.63075971481</v>
      </c>
      <c r="E24" s="5">
        <f>_xll.DBRW($C$14,$C24,$D$18,E$23,$D$17,$D$19,$D$20,$D$16)</f>
        <v>49811.431300919408</v>
      </c>
      <c r="F24" s="5">
        <f>D24-E24</f>
        <v>59309.199458795403</v>
      </c>
      <c r="G24" s="5">
        <f>_xll.DBRW($C$14,$C24,$D$18,G$23,$D$17,$D$19,$D$20,$D$16)</f>
        <v>27515.900145570115</v>
      </c>
      <c r="H24" s="5">
        <f>_xll.DBRW($C$14,$C24,$D$18,H$23,$D$17,$D$19,$D$20,$D$16)</f>
        <v>22295.531155349301</v>
      </c>
      <c r="I24" s="5">
        <f>_xll.DBRW($C$14,$C24,$D$18,I$23,$D$17,$D$19,$D$20,$D$16)</f>
        <v>0</v>
      </c>
      <c r="J24" s="5">
        <f>_xll.DBRW($C$14,$C24,$D$18,J$23,$D$17,$D$19,$D$20,$D$16)</f>
        <v>40232.415285131356</v>
      </c>
      <c r="K24" s="5">
        <f>_xll.DBRW($C$14,$C24,$D$18,K$23,$D$17,$D$19,$D$20,$D$16)</f>
        <v>19035.70106040387</v>
      </c>
      <c r="L24" s="5">
        <f>_xll.DBRW($C$14,$C24,$D$18,L$23,$D$17,$D$19,$D$20,$D$16)</f>
        <v>21196.714224727479</v>
      </c>
      <c r="M24" s="5">
        <f>_xll.DBRW($C$14,$C24,$D$18,M$23,$D$17,$D$19,$D$20,$D$16)</f>
        <v>19076.784173664048</v>
      </c>
      <c r="N24" s="5">
        <f>_xll.DBRW($C$14,$C24,$D$18,N$23,$D$17,$D$19,$D$20,$D$16)</f>
        <v>19076.784173664048</v>
      </c>
    </row>
    <row r="25" spans="2:14" s="6" customFormat="1" thickBot="1" x14ac:dyDescent="0.3">
      <c r="B25" s="6">
        <f>IF(_xll.TM1RPTELISCONSOLIDATED($C$24,$C25),IF(_xll.TM1RPTELLEV($C$24,$C25)&lt;=5,_xll.TM1RPTELLEV($C$24,$C25),"Default"),"Leaf")</f>
        <v>1</v>
      </c>
      <c r="C25" s="33" t="s">
        <v>10</v>
      </c>
      <c r="D25" s="8">
        <f>_xll.DBRW($C$14,$C25,$D$18,D$23,$D$17,$D$19,$D$20,$D$16)</f>
        <v>32150.531428091246</v>
      </c>
      <c r="E25" s="8">
        <f>_xll.DBRW($C$14,$C25,$D$18,E$23,$D$17,$D$19,$D$20,$D$16)</f>
        <v>14830.83829891357</v>
      </c>
      <c r="F25" s="8">
        <f>D25-E25</f>
        <v>17319.693129177678</v>
      </c>
      <c r="G25" s="8">
        <f>_xll.DBRW($C$14,$C25,$D$18,G$23,$D$17,$D$19,$D$20,$D$16)</f>
        <v>8283.4090635782741</v>
      </c>
      <c r="H25" s="8">
        <f>_xll.DBRW($C$14,$C25,$D$18,H$23,$D$17,$D$19,$D$20,$D$16)</f>
        <v>6547.4292353352967</v>
      </c>
      <c r="I25" s="8">
        <f>_xll.DBRW($C$14,$C25,$D$18,I$23,$D$17,$D$19,$D$20,$D$16)</f>
        <v>0</v>
      </c>
      <c r="J25" s="8">
        <f>_xll.DBRW($C$14,$C25,$D$18,J$23,$D$17,$D$19,$D$20,$D$16)</f>
        <v>11763.138430031757</v>
      </c>
      <c r="K25" s="8">
        <f>_xll.DBRW($C$14,$C25,$D$18,K$23,$D$17,$D$19,$D$20,$D$16)</f>
        <v>5490.1854988570703</v>
      </c>
      <c r="L25" s="8">
        <f>_xll.DBRW($C$14,$C25,$D$18,L$23,$D$17,$D$19,$D$20,$D$16)</f>
        <v>6272.9529311746865</v>
      </c>
      <c r="M25" s="8">
        <f>_xll.DBRW($C$14,$C25,$D$18,M$23,$D$17,$D$19,$D$20,$D$16)</f>
        <v>5556.5546991459214</v>
      </c>
      <c r="N25" s="8">
        <f>_xll.DBRW($C$14,$C25,$D$18,N$23,$D$17,$D$19,$D$20,$D$16)</f>
        <v>5556.5546991459214</v>
      </c>
    </row>
    <row r="26" spans="2:14" s="26" customFormat="1" thickBot="1" x14ac:dyDescent="0.3">
      <c r="B26" s="25" t="str">
        <f>IF(_xll.TM1RPTELISCONSOLIDATED($C$24,$C26),IF(_xll.TM1RPTELLEV($C$24,$C26)&lt;=5,_xll.TM1RPTELLEV($C$24,$C26),"Default"),"Leaf")</f>
        <v>Leaf</v>
      </c>
      <c r="C26" s="34" t="s">
        <v>11</v>
      </c>
      <c r="D26" s="28">
        <f>_xll.DBRW($C$14,$C26,$D$18,D$23,$D$17,$D$19,$D$20,$D$16)</f>
        <v>10827.44071176473</v>
      </c>
      <c r="E26" s="28">
        <f>_xll.DBRW($C$14,$C26,$D$18,E$23,$D$17,$D$19,$D$20,$D$16)</f>
        <v>5910.2502509592086</v>
      </c>
      <c r="F26" s="28">
        <f>D26-E26</f>
        <v>4917.1904608055211</v>
      </c>
      <c r="G26" s="28">
        <f>_xll.DBRW($C$14,$C26,$D$18,G$23,$D$17,$D$19,$D$20,$D$16)</f>
        <v>3400.0866753513478</v>
      </c>
      <c r="H26" s="28">
        <f>_xll.DBRW($C$14,$C26,$D$18,H$23,$D$17,$D$19,$D$20,$D$16)</f>
        <v>2510.1635756078613</v>
      </c>
      <c r="I26" s="28">
        <f>_xll.DBRW($C$14,$C26,$D$18,I$23,$D$17,$D$19,$D$20,$D$16)</f>
        <v>0</v>
      </c>
      <c r="J26" s="28">
        <f>_xll.DBRW($C$14,$C26,$D$18,J$23,$D$17,$D$19,$D$20,$D$16)</f>
        <v>3304.3634885927381</v>
      </c>
      <c r="K26" s="28">
        <f>_xll.DBRW($C$14,$C26,$D$18,K$23,$D$17,$D$19,$D$20,$D$16)</f>
        <v>1694.5070170195377</v>
      </c>
      <c r="L26" s="28">
        <f>_xll.DBRW($C$14,$C26,$D$18,L$23,$D$17,$D$19,$D$20,$D$16)</f>
        <v>1609.8564715732005</v>
      </c>
      <c r="M26" s="28">
        <f>_xll.DBRW($C$14,$C26,$D$18,M$23,$D$17,$D$19,$D$20,$D$16)</f>
        <v>1612.826972212782</v>
      </c>
      <c r="N26" s="28">
        <f>_xll.DBRW($C$14,$C26,$D$18,N$23,$D$17,$D$19,$D$20,$D$16)</f>
        <v>1612.826972212782</v>
      </c>
    </row>
    <row r="27" spans="2:14" s="26" customFormat="1" thickBot="1" x14ac:dyDescent="0.3">
      <c r="B27" s="25" t="str">
        <f>IF(_xll.TM1RPTELISCONSOLIDATED($C$24,$C27),IF(_xll.TM1RPTELLEV($C$24,$C27)&lt;=5,_xll.TM1RPTELLEV($C$24,$C27),"Default"),"Leaf")</f>
        <v>Leaf</v>
      </c>
      <c r="C27" s="34" t="s">
        <v>12</v>
      </c>
      <c r="D27" s="28">
        <f>_xll.DBRW($C$14,$C27,$D$18,D$23,$D$17,$D$19,$D$20,$D$16)</f>
        <v>11138.903887282622</v>
      </c>
      <c r="E27" s="28">
        <f>_xll.DBRW($C$14,$C27,$D$18,E$23,$D$17,$D$19,$D$20,$D$16)</f>
        <v>5074.4408461129824</v>
      </c>
      <c r="F27" s="28">
        <f>D27-E27</f>
        <v>6064.4630411696398</v>
      </c>
      <c r="G27" s="28">
        <f>_xll.DBRW($C$14,$C27,$D$18,G$23,$D$17,$D$19,$D$20,$D$16)</f>
        <v>2843.245826728848</v>
      </c>
      <c r="H27" s="28">
        <f>_xll.DBRW($C$14,$C27,$D$18,H$23,$D$17,$D$19,$D$20,$D$16)</f>
        <v>2231.1950193841349</v>
      </c>
      <c r="I27" s="28">
        <f>_xll.DBRW($C$14,$C27,$D$18,I$23,$D$17,$D$19,$D$20,$D$16)</f>
        <v>0</v>
      </c>
      <c r="J27" s="28">
        <f>_xll.DBRW($C$14,$C27,$D$18,J$23,$D$17,$D$19,$D$20,$D$16)</f>
        <v>4038.5434032191897</v>
      </c>
      <c r="K27" s="28">
        <f>_xll.DBRW($C$14,$C27,$D$18,K$23,$D$17,$D$19,$D$20,$D$16)</f>
        <v>1830.1134939915614</v>
      </c>
      <c r="L27" s="28">
        <f>_xll.DBRW($C$14,$C27,$D$18,L$23,$D$17,$D$19,$D$20,$D$16)</f>
        <v>2208.4299092276283</v>
      </c>
      <c r="M27" s="28">
        <f>_xll.DBRW($C$14,$C27,$D$18,M$23,$D$17,$D$19,$D$20,$D$16)</f>
        <v>2025.9196379504497</v>
      </c>
      <c r="N27" s="28">
        <f>_xll.DBRW($C$14,$C27,$D$18,N$23,$D$17,$D$19,$D$20,$D$16)</f>
        <v>2025.9196379504497</v>
      </c>
    </row>
    <row r="28" spans="2:14" s="26" customFormat="1" thickBot="1" x14ac:dyDescent="0.3">
      <c r="B28" s="25" t="str">
        <f>IF(_xll.TM1RPTELISCONSOLIDATED($C$24,$C28),IF(_xll.TM1RPTELLEV($C$24,$C28)&lt;=5,_xll.TM1RPTELLEV($C$24,$C28),"Default"),"Leaf")</f>
        <v>Leaf</v>
      </c>
      <c r="C28" s="34" t="s">
        <v>13</v>
      </c>
      <c r="D28" s="28">
        <f>_xll.DBRW($C$14,$C28,$D$18,D$23,$D$17,$D$19,$D$20,$D$16)</f>
        <v>10184.186829043898</v>
      </c>
      <c r="E28" s="28">
        <f>_xll.DBRW($C$14,$C28,$D$18,E$23,$D$17,$D$19,$D$20,$D$16)</f>
        <v>3846.1472018413792</v>
      </c>
      <c r="F28" s="28">
        <f>D28-E28</f>
        <v>6338.0396272025191</v>
      </c>
      <c r="G28" s="28">
        <f>_xll.DBRW($C$14,$C28,$D$18,G$23,$D$17,$D$19,$D$20,$D$16)</f>
        <v>2040.0765614980789</v>
      </c>
      <c r="H28" s="28">
        <f>_xll.DBRW($C$14,$C28,$D$18,H$23,$D$17,$D$19,$D$20,$D$16)</f>
        <v>1806.0706403433003</v>
      </c>
      <c r="I28" s="28">
        <f>_xll.DBRW($C$14,$C28,$D$18,I$23,$D$17,$D$19,$D$20,$D$16)</f>
        <v>0</v>
      </c>
      <c r="J28" s="28">
        <f>_xll.DBRW($C$14,$C28,$D$18,J$23,$D$17,$D$19,$D$20,$D$16)</f>
        <v>4420.2315382198285</v>
      </c>
      <c r="K28" s="28">
        <f>_xll.DBRW($C$14,$C28,$D$18,K$23,$D$17,$D$19,$D$20,$D$16)</f>
        <v>1965.564987845971</v>
      </c>
      <c r="L28" s="28">
        <f>_xll.DBRW($C$14,$C28,$D$18,L$23,$D$17,$D$19,$D$20,$D$16)</f>
        <v>2454.6665503738573</v>
      </c>
      <c r="M28" s="28">
        <f>_xll.DBRW($C$14,$C28,$D$18,M$23,$D$17,$D$19,$D$20,$D$16)</f>
        <v>1917.8080889826897</v>
      </c>
      <c r="N28" s="28">
        <f>_xll.DBRW($C$14,$C28,$D$18,N$23,$D$17,$D$19,$D$20,$D$16)</f>
        <v>1917.8080889826897</v>
      </c>
    </row>
    <row r="29" spans="2:14" s="6" customFormat="1" thickBot="1" x14ac:dyDescent="0.3">
      <c r="B29" s="6">
        <f>IF(_xll.TM1RPTELISCONSOLIDATED($C$24,$C29),IF(_xll.TM1RPTELLEV($C$24,$C29)&lt;=5,_xll.TM1RPTELLEV($C$24,$C29),"Default"),"Leaf")</f>
        <v>1</v>
      </c>
      <c r="C29" s="33" t="s">
        <v>14</v>
      </c>
      <c r="D29" s="8">
        <f>_xll.DBRW($C$14,$C29,$D$18,D$23,$D$17,$D$19,$D$20,$D$16)</f>
        <v>20644.579140006066</v>
      </c>
      <c r="E29" s="8">
        <f>_xll.DBRW($C$14,$C29,$D$18,E$23,$D$17,$D$19,$D$20,$D$16)</f>
        <v>8169.1790934682886</v>
      </c>
      <c r="F29" s="8">
        <f>D29-E29</f>
        <v>12475.400046537778</v>
      </c>
      <c r="G29" s="8">
        <f>_xll.DBRW($C$14,$C29,$D$18,G$23,$D$17,$D$19,$D$20,$D$16)</f>
        <v>4331.2531920707033</v>
      </c>
      <c r="H29" s="8">
        <f>_xll.DBRW($C$14,$C29,$D$18,H$23,$D$17,$D$19,$D$20,$D$16)</f>
        <v>3837.9259013975852</v>
      </c>
      <c r="I29" s="8">
        <f>_xll.DBRW($C$14,$C29,$D$18,I$23,$D$17,$D$19,$D$20,$D$16)</f>
        <v>0</v>
      </c>
      <c r="J29" s="8">
        <f>_xll.DBRW($C$14,$C29,$D$18,J$23,$D$17,$D$19,$D$20,$D$16)</f>
        <v>8613.8210160145427</v>
      </c>
      <c r="K29" s="8">
        <f>_xll.DBRW($C$14,$C29,$D$18,K$23,$D$17,$D$19,$D$20,$D$16)</f>
        <v>3762.076810121272</v>
      </c>
      <c r="L29" s="8">
        <f>_xll.DBRW($C$14,$C29,$D$18,L$23,$D$17,$D$19,$D$20,$D$16)</f>
        <v>4851.7442058932702</v>
      </c>
      <c r="M29" s="8">
        <f>_xll.DBRW($C$14,$C29,$D$18,M$23,$D$17,$D$19,$D$20,$D$16)</f>
        <v>3861.5790305232313</v>
      </c>
      <c r="N29" s="8">
        <f>_xll.DBRW($C$14,$C29,$D$18,N$23,$D$17,$D$19,$D$20,$D$16)</f>
        <v>3861.5790305232313</v>
      </c>
    </row>
    <row r="30" spans="2:14" s="26" customFormat="1" thickBot="1" x14ac:dyDescent="0.3">
      <c r="B30" s="25" t="str">
        <f>IF(_xll.TM1RPTELISCONSOLIDATED($C$24,$C30),IF(_xll.TM1RPTELLEV($C$24,$C30)&lt;=5,_xll.TM1RPTELLEV($C$24,$C30),"Default"),"Leaf")</f>
        <v>Leaf</v>
      </c>
      <c r="C30" s="34" t="s">
        <v>15</v>
      </c>
      <c r="D30" s="28">
        <f>_xll.DBRW($C$14,$C30,$D$18,D$23,$D$17,$D$19,$D$20,$D$16)</f>
        <v>10323.930209866783</v>
      </c>
      <c r="E30" s="28">
        <f>_xll.DBRW($C$14,$C30,$D$18,E$23,$D$17,$D$19,$D$20,$D$16)</f>
        <v>3942.7397144961319</v>
      </c>
      <c r="F30" s="28">
        <f>D30-E30</f>
        <v>6381.1904953706508</v>
      </c>
      <c r="G30" s="28">
        <f>_xll.DBRW($C$14,$C30,$D$18,G$23,$D$17,$D$19,$D$20,$D$16)</f>
        <v>2038.1712571259193</v>
      </c>
      <c r="H30" s="28">
        <f>_xll.DBRW($C$14,$C30,$D$18,H$23,$D$17,$D$19,$D$20,$D$16)</f>
        <v>1904.5684573702126</v>
      </c>
      <c r="I30" s="28">
        <f>_xll.DBRW($C$14,$C30,$D$18,I$23,$D$17,$D$19,$D$20,$D$16)</f>
        <v>0</v>
      </c>
      <c r="J30" s="28">
        <f>_xll.DBRW($C$14,$C30,$D$18,J$23,$D$17,$D$19,$D$20,$D$16)</f>
        <v>4311.9061216387245</v>
      </c>
      <c r="K30" s="28">
        <f>_xll.DBRW($C$14,$C30,$D$18,K$23,$D$17,$D$19,$D$20,$D$16)</f>
        <v>1992.3082681359601</v>
      </c>
      <c r="L30" s="28">
        <f>_xll.DBRW($C$14,$C30,$D$18,L$23,$D$17,$D$19,$D$20,$D$16)</f>
        <v>2319.5978535027643</v>
      </c>
      <c r="M30" s="28">
        <f>_xll.DBRW($C$14,$C30,$D$18,M$23,$D$17,$D$19,$D$20,$D$16)</f>
        <v>2069.2843737319267</v>
      </c>
      <c r="N30" s="28">
        <f>_xll.DBRW($C$14,$C30,$D$18,N$23,$D$17,$D$19,$D$20,$D$16)</f>
        <v>2069.2843737319267</v>
      </c>
    </row>
    <row r="31" spans="2:14" s="26" customFormat="1" thickBot="1" x14ac:dyDescent="0.3">
      <c r="B31" s="25" t="str">
        <f>IF(_xll.TM1RPTELISCONSOLIDATED($C$24,$C31),IF(_xll.TM1RPTELLEV($C$24,$C31)&lt;=5,_xll.TM1RPTELLEV($C$24,$C31),"Default"),"Leaf")</f>
        <v>Leaf</v>
      </c>
      <c r="C31" s="34" t="s">
        <v>16</v>
      </c>
      <c r="D31" s="28">
        <f>_xll.DBRW($C$14,$C31,$D$18,D$23,$D$17,$D$19,$D$20,$D$16)</f>
        <v>10320.648930139278</v>
      </c>
      <c r="E31" s="28">
        <f>_xll.DBRW($C$14,$C31,$D$18,E$23,$D$17,$D$19,$D$20,$D$16)</f>
        <v>4226.4393789721562</v>
      </c>
      <c r="F31" s="28">
        <f>D31-E31</f>
        <v>6094.2095511671214</v>
      </c>
      <c r="G31" s="28">
        <f>_xll.DBRW($C$14,$C31,$D$18,G$23,$D$17,$D$19,$D$20,$D$16)</f>
        <v>2293.0819349447843</v>
      </c>
      <c r="H31" s="28">
        <f>_xll.DBRW($C$14,$C31,$D$18,H$23,$D$17,$D$19,$D$20,$D$16)</f>
        <v>1933.3574440273724</v>
      </c>
      <c r="I31" s="28">
        <f>_xll.DBRW($C$14,$C31,$D$18,I$23,$D$17,$D$19,$D$20,$D$16)</f>
        <v>0</v>
      </c>
      <c r="J31" s="28">
        <f>_xll.DBRW($C$14,$C31,$D$18,J$23,$D$17,$D$19,$D$20,$D$16)</f>
        <v>4301.9148943758182</v>
      </c>
      <c r="K31" s="28">
        <f>_xll.DBRW($C$14,$C31,$D$18,K$23,$D$17,$D$19,$D$20,$D$16)</f>
        <v>1769.7685419853119</v>
      </c>
      <c r="L31" s="28">
        <f>_xll.DBRW($C$14,$C31,$D$18,L$23,$D$17,$D$19,$D$20,$D$16)</f>
        <v>2532.1463523905063</v>
      </c>
      <c r="M31" s="28">
        <f>_xll.DBRW($C$14,$C31,$D$18,M$23,$D$17,$D$19,$D$20,$D$16)</f>
        <v>1792.2946567913048</v>
      </c>
      <c r="N31" s="28">
        <f>_xll.DBRW($C$14,$C31,$D$18,N$23,$D$17,$D$19,$D$20,$D$16)</f>
        <v>1792.2946567913048</v>
      </c>
    </row>
    <row r="32" spans="2:14" s="6" customFormat="1" thickBot="1" x14ac:dyDescent="0.3">
      <c r="B32" s="6">
        <f>IF(_xll.TM1RPTELISCONSOLIDATED($C$24,$C32),IF(_xll.TM1RPTELLEV($C$24,$C32)&lt;=5,_xll.TM1RPTELLEV($C$24,$C32),"Default"),"Leaf")</f>
        <v>1</v>
      </c>
      <c r="C32" s="36" t="s">
        <v>17</v>
      </c>
      <c r="D32" s="8">
        <f>_xll.DBRW($C$14,$C32,$D$18,D$23,$D$17,$D$19,$D$20,$D$16)</f>
        <v>22844.524202211742</v>
      </c>
      <c r="E32" s="8">
        <f>_xll.DBRW($C$14,$C32,$D$18,E$23,$D$17,$D$19,$D$20,$D$16)</f>
        <v>10523.565536433445</v>
      </c>
      <c r="F32" s="8">
        <f>D32-E32</f>
        <v>12320.958665778297</v>
      </c>
      <c r="G32" s="8">
        <f>_xll.DBRW($C$14,$C32,$D$18,G$23,$D$17,$D$19,$D$20,$D$16)</f>
        <v>5746.1278555659883</v>
      </c>
      <c r="H32" s="8">
        <f>_xll.DBRW($C$14,$C32,$D$18,H$23,$D$17,$D$19,$D$20,$D$16)</f>
        <v>4777.4376808674579</v>
      </c>
      <c r="I32" s="8">
        <f>_xll.DBRW($C$14,$C32,$D$18,I$23,$D$17,$D$19,$D$20,$D$16)</f>
        <v>0</v>
      </c>
      <c r="J32" s="8">
        <f>_xll.DBRW($C$14,$C32,$D$18,J$23,$D$17,$D$19,$D$20,$D$16)</f>
        <v>7838.2867060001081</v>
      </c>
      <c r="K32" s="8">
        <f>_xll.DBRW($C$14,$C32,$D$18,K$23,$D$17,$D$19,$D$20,$D$16)</f>
        <v>3969.0274604993774</v>
      </c>
      <c r="L32" s="8">
        <f>_xll.DBRW($C$14,$C32,$D$18,L$23,$D$17,$D$19,$D$20,$D$16)</f>
        <v>3869.2592455007307</v>
      </c>
      <c r="M32" s="8">
        <f>_xll.DBRW($C$14,$C32,$D$18,M$23,$D$17,$D$19,$D$20,$D$16)</f>
        <v>4482.6719597781876</v>
      </c>
      <c r="N32" s="8">
        <f>_xll.DBRW($C$14,$C32,$D$18,N$23,$D$17,$D$19,$D$20,$D$16)</f>
        <v>4482.6719597781876</v>
      </c>
    </row>
    <row r="33" spans="2:14" s="6" customFormat="1" thickBot="1" x14ac:dyDescent="0.3">
      <c r="B33" s="6">
        <f>IF(_xll.TM1RPTELISCONSOLIDATED($C$24,$C33),IF(_xll.TM1RPTELLEV($C$24,$C33)&lt;=5,_xll.TM1RPTELLEV($C$24,$C33),"Default"),"Leaf")</f>
        <v>1</v>
      </c>
      <c r="C33" s="36" t="s">
        <v>18</v>
      </c>
      <c r="D33" s="8">
        <f>_xll.DBRW($C$14,$C33,$D$18,D$23,$D$17,$D$19,$D$20,$D$16)</f>
        <v>33480.995989405754</v>
      </c>
      <c r="E33" s="8">
        <f>_xll.DBRW($C$14,$C33,$D$18,E$23,$D$17,$D$19,$D$20,$D$16)</f>
        <v>16287.848372104107</v>
      </c>
      <c r="F33" s="8">
        <f>D33-E33</f>
        <v>17193.147617301649</v>
      </c>
      <c r="G33" s="8">
        <f>_xll.DBRW($C$14,$C33,$D$18,G$23,$D$17,$D$19,$D$20,$D$16)</f>
        <v>9155.1100343551461</v>
      </c>
      <c r="H33" s="8">
        <f>_xll.DBRW($C$14,$C33,$D$18,H$23,$D$17,$D$19,$D$20,$D$16)</f>
        <v>7132.7383377489623</v>
      </c>
      <c r="I33" s="8">
        <f>_xll.DBRW($C$14,$C33,$D$18,I$23,$D$17,$D$19,$D$20,$D$16)</f>
        <v>0</v>
      </c>
      <c r="J33" s="8">
        <f>_xll.DBRW($C$14,$C33,$D$18,J$23,$D$17,$D$19,$D$20,$D$16)</f>
        <v>12017.169133084939</v>
      </c>
      <c r="K33" s="8">
        <f>_xll.DBRW($C$14,$C33,$D$18,K$23,$D$17,$D$19,$D$20,$D$16)</f>
        <v>5814.4112909261512</v>
      </c>
      <c r="L33" s="8">
        <f>_xll.DBRW($C$14,$C33,$D$18,L$23,$D$17,$D$19,$D$20,$D$16)</f>
        <v>6202.7578421587887</v>
      </c>
      <c r="M33" s="8">
        <f>_xll.DBRW($C$14,$C33,$D$18,M$23,$D$17,$D$19,$D$20,$D$16)</f>
        <v>5175.9784842167064</v>
      </c>
      <c r="N33" s="8">
        <f>_xll.DBRW($C$14,$C33,$D$18,N$23,$D$17,$D$19,$D$20,$D$16)</f>
        <v>5175.9784842167064</v>
      </c>
    </row>
  </sheetData>
  <pageMargins left="0.7" right="0.7" top="0.75" bottom="0.75" header="0.3" footer="0.3"/>
  <customProperties>
    <customPr name="###UNCOMMITTEDCHANGES###" r:id="rId1"/>
    <customPr name="COR_DefaultExpandDirection" r:id="rId2"/>
    <customPr name="COR_GroupingOption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Sheet1!TM1RPTDATARNG11214159</vt:lpstr>
      <vt:lpstr>Sheet1!TM1RPTFMTIDCOL11214159</vt:lpstr>
      <vt:lpstr>Sheet1!TM1RPTFMTRNG11214159</vt:lpstr>
      <vt:lpstr>Sheet1!TM1RPTQRYRNG11214159</vt:lpstr>
      <vt:lpstr>Sheet1!TM1RPTVIEWRNG11214159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2022-12-15T15:53:16Z</dcterms:created>
  <dcterms:modified xsi:type="dcterms:W3CDTF">2022-12-15T15:56:30Z</dcterms:modified>
</cp:coreProperties>
</file>