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drawings/drawing2.xml" ContentType="application/vnd.openxmlformats-officedocument.drawing+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50" windowWidth="14355" windowHeight="6870"/>
  </bookViews>
  <sheets>
    <sheet name="Intro" sheetId="1" r:id="rId1"/>
    <sheet name="Instructions" sheetId="4" r:id="rId2"/>
    <sheet name="Tasks" sheetId="5" r:id="rId3"/>
    <sheet name="Status" sheetId="7" r:id="rId4"/>
    <sheet name="{PL}PickLst" sheetId="6" state="hidden" r:id="rId5"/>
  </sheets>
  <calcPr calcId="145621" concurrentCalc="0"/>
</workbook>
</file>

<file path=xl/calcChain.xml><?xml version="1.0" encoding="utf-8"?>
<calcChain xmlns="http://schemas.openxmlformats.org/spreadsheetml/2006/main">
  <c r="B8" i="7" l="1"/>
  <c r="E14" i="7"/>
  <c r="E13" i="7"/>
  <c r="J12" i="7"/>
  <c r="K10" i="7"/>
  <c r="J10" i="7"/>
  <c r="I10" i="7"/>
  <c r="B7" i="7"/>
  <c r="F23" i="5"/>
  <c r="F22" i="5"/>
  <c r="F21" i="5"/>
  <c r="F20" i="5"/>
  <c r="F19" i="5"/>
  <c r="F18" i="5"/>
  <c r="F17" i="5"/>
  <c r="F16" i="5"/>
  <c r="F15" i="5"/>
  <c r="F14" i="5"/>
  <c r="F13" i="5"/>
  <c r="F12" i="5"/>
  <c r="F11" i="5"/>
  <c r="F10" i="5"/>
  <c r="F9" i="5"/>
  <c r="F8" i="5"/>
  <c r="F7" i="5"/>
  <c r="F6" i="5"/>
  <c r="G2" i="5"/>
  <c r="F2" i="5"/>
  <c r="F1" i="5"/>
  <c r="D24" i="1"/>
  <c r="J13" i="7"/>
  <c r="I13" i="7"/>
  <c r="J14" i="7"/>
  <c r="I14" i="7"/>
  <c r="K14" i="7"/>
  <c r="L14" i="7"/>
  <c r="I15" i="7"/>
  <c r="J15" i="7"/>
  <c r="K15" i="7"/>
  <c r="L15" i="7"/>
  <c r="I16" i="7"/>
  <c r="J16" i="7"/>
  <c r="K16" i="7"/>
  <c r="L16" i="7"/>
  <c r="I17" i="7"/>
  <c r="J17" i="7"/>
  <c r="K17" i="7"/>
  <c r="L17" i="7"/>
  <c r="J18" i="7"/>
  <c r="I18" i="7"/>
  <c r="K18" i="7"/>
  <c r="L18" i="7"/>
  <c r="I20" i="7"/>
  <c r="B3" i="7"/>
  <c r="L23" i="5"/>
  <c r="K23" i="5"/>
  <c r="J23" i="5"/>
  <c r="I23" i="5"/>
  <c r="H23" i="5"/>
  <c r="C23" i="5"/>
  <c r="B23" i="5"/>
  <c r="L22" i="5"/>
  <c r="K22" i="5"/>
  <c r="J22" i="5"/>
  <c r="I22" i="5"/>
  <c r="H22" i="5"/>
  <c r="C22" i="5"/>
  <c r="B22" i="5"/>
  <c r="L21" i="5"/>
  <c r="K21" i="5"/>
  <c r="J21" i="5"/>
  <c r="I21" i="5"/>
  <c r="H21" i="5"/>
  <c r="C21" i="5"/>
  <c r="B21" i="5"/>
  <c r="L20" i="5"/>
  <c r="K20" i="5"/>
  <c r="J20" i="5"/>
  <c r="I20" i="5"/>
  <c r="H20" i="5"/>
  <c r="C20" i="5"/>
  <c r="B20" i="5"/>
  <c r="L19" i="5"/>
  <c r="K19" i="5"/>
  <c r="J19" i="5"/>
  <c r="I19" i="5"/>
  <c r="H19" i="5"/>
  <c r="C19" i="5"/>
  <c r="B19" i="5"/>
  <c r="L18" i="5"/>
  <c r="K18" i="5"/>
  <c r="J18" i="5"/>
  <c r="I18" i="5"/>
  <c r="H18" i="5"/>
  <c r="C18" i="5"/>
  <c r="B18" i="5"/>
  <c r="L17" i="5"/>
  <c r="K17" i="5"/>
  <c r="J17" i="5"/>
  <c r="I17" i="5"/>
  <c r="H17" i="5"/>
  <c r="C17" i="5"/>
  <c r="B17" i="5"/>
  <c r="L16" i="5"/>
  <c r="K16" i="5"/>
  <c r="J16" i="5"/>
  <c r="I16" i="5"/>
  <c r="H16" i="5"/>
  <c r="C16" i="5"/>
  <c r="B16" i="5"/>
  <c r="L15" i="5"/>
  <c r="K15" i="5"/>
  <c r="J15" i="5"/>
  <c r="I15" i="5"/>
  <c r="H15" i="5"/>
  <c r="C15" i="5"/>
  <c r="B15" i="5"/>
  <c r="L14" i="5"/>
  <c r="K14" i="5"/>
  <c r="J14" i="5"/>
  <c r="I14" i="5"/>
  <c r="H14" i="5"/>
  <c r="C14" i="5"/>
  <c r="B14" i="5"/>
  <c r="L13" i="5"/>
  <c r="K13" i="5"/>
  <c r="J13" i="5"/>
  <c r="I13" i="5"/>
  <c r="H13" i="5"/>
  <c r="C13" i="5"/>
  <c r="B13" i="5"/>
  <c r="L12" i="5"/>
  <c r="K12" i="5"/>
  <c r="J12" i="5"/>
  <c r="I12" i="5"/>
  <c r="H12" i="5"/>
  <c r="C12" i="5"/>
  <c r="B12" i="5"/>
  <c r="L11" i="5"/>
  <c r="K11" i="5"/>
  <c r="J11" i="5"/>
  <c r="I11" i="5"/>
  <c r="H11" i="5"/>
  <c r="C11" i="5"/>
  <c r="B11" i="5"/>
  <c r="L10" i="5"/>
  <c r="K10" i="5"/>
  <c r="J10" i="5"/>
  <c r="I10" i="5"/>
  <c r="H10" i="5"/>
  <c r="C10" i="5"/>
  <c r="B10" i="5"/>
  <c r="L9" i="5"/>
  <c r="K9" i="5"/>
  <c r="J9" i="5"/>
  <c r="I9" i="5"/>
  <c r="H9" i="5"/>
  <c r="C9" i="5"/>
  <c r="B9" i="5"/>
  <c r="L8" i="5"/>
  <c r="K8" i="5"/>
  <c r="J8" i="5"/>
  <c r="I8" i="5"/>
  <c r="H8" i="5"/>
  <c r="C8" i="5"/>
  <c r="B8" i="5"/>
  <c r="L7" i="5"/>
  <c r="K7" i="5"/>
  <c r="J7" i="5"/>
  <c r="I7" i="5"/>
  <c r="H7" i="5"/>
  <c r="C7" i="5"/>
  <c r="B7" i="5"/>
  <c r="L6" i="5"/>
  <c r="K6" i="5"/>
  <c r="J6" i="5"/>
  <c r="I6" i="5"/>
  <c r="H6" i="5"/>
  <c r="C6" i="5"/>
  <c r="B6" i="5"/>
  <c r="F3" i="5"/>
</calcChain>
</file>

<file path=xl/sharedStrings.xml><?xml version="1.0" encoding="utf-8"?>
<sst xmlns="http://schemas.openxmlformats.org/spreadsheetml/2006/main" count="85" uniqueCount="76">
  <si>
    <t>Process Schedule</t>
  </si>
  <si>
    <t>Kick Off</t>
  </si>
  <si>
    <t>Date</t>
  </si>
  <si>
    <t>Activity</t>
  </si>
  <si>
    <t>Planning Application Open</t>
  </si>
  <si>
    <t>First Pass Review</t>
  </si>
  <si>
    <t>Revised Guidelines Published</t>
  </si>
  <si>
    <t>Second Pass Review</t>
  </si>
  <si>
    <t>Department Presentations</t>
  </si>
  <si>
    <t>Final Plan Published</t>
  </si>
  <si>
    <t>Contacts</t>
  </si>
  <si>
    <t>Name</t>
  </si>
  <si>
    <t>Extension</t>
  </si>
  <si>
    <t>Steve Adams, FPA Manager</t>
  </si>
  <si>
    <t>x4424</t>
  </si>
  <si>
    <t>Will Roberts, CFO</t>
  </si>
  <si>
    <t>x5876</t>
  </si>
  <si>
    <t>Jill Warren, FPA Analyst</t>
  </si>
  <si>
    <t>x3424</t>
  </si>
  <si>
    <r>
      <rPr>
        <sz val="11"/>
        <color indexed="62"/>
        <rFont val="Calibri"/>
        <family val="2"/>
      </rPr>
      <t xml:space="preserve">From the President &amp; CFO </t>
    </r>
    <r>
      <rPr>
        <sz val="11"/>
        <rFont val="Calibri"/>
        <family val="2"/>
      </rPr>
      <t>- This year the company has made a strategic investment in a world-class collaborative planning application.  In partnership with IBM, the global leader in Performance Management and our hard working Financial Systems project implementation team, we are excited to introduce the new IBM Cognos Performance Management application.</t>
    </r>
  </si>
  <si>
    <t>Our system is designed to improve the accuracy and timeliness of our planning process while providing our user community with the tools necessary to analyze past performance and more confidently plan for the future.  Our goal is to get this done while at the same time improving the quality of life of our business planners.</t>
  </si>
  <si>
    <t>Version :</t>
  </si>
  <si>
    <t>CUBE:</t>
  </si>
  <si>
    <t>organization</t>
  </si>
  <si>
    <t>Days Left</t>
  </si>
  <si>
    <t>Overdue</t>
  </si>
  <si>
    <t>Task</t>
  </si>
  <si>
    <t>Status</t>
  </si>
  <si>
    <t>Due Date</t>
  </si>
  <si>
    <t>Commentary</t>
  </si>
  <si>
    <t>All Tasks</t>
  </si>
  <si>
    <t>1</t>
  </si>
  <si>
    <t>2</t>
  </si>
  <si>
    <t>3</t>
  </si>
  <si>
    <t>5</t>
  </si>
  <si>
    <t>7</t>
  </si>
  <si>
    <t>8</t>
  </si>
  <si>
    <t>9</t>
  </si>
  <si>
    <t>10</t>
  </si>
  <si>
    <t>11</t>
  </si>
  <si>
    <t>12</t>
  </si>
  <si>
    <t>13</t>
  </si>
  <si>
    <t>14</t>
  </si>
  <si>
    <t>15</t>
  </si>
  <si>
    <t>16</t>
  </si>
  <si>
    <t>17</t>
  </si>
  <si>
    <t>18</t>
  </si>
  <si>
    <t>19</t>
  </si>
  <si>
    <t>Local</t>
  </si>
  <si>
    <t>y2</t>
  </si>
  <si>
    <t>Year</t>
  </si>
  <si>
    <t>Target</t>
  </si>
  <si>
    <t>Variance</t>
  </si>
  <si>
    <t>Tasks Completed</t>
  </si>
  <si>
    <t>Tasks Remaining</t>
  </si>
  <si>
    <t>Gross Margin</t>
  </si>
  <si>
    <t>6099 PAYROLL</t>
  </si>
  <si>
    <t>6499 MARKETING</t>
  </si>
  <si>
    <t>6599 DEPRECIATION</t>
  </si>
  <si>
    <t>Net Profit</t>
  </si>
  <si>
    <t>To Start, Click here;</t>
  </si>
  <si>
    <t>Complete</t>
  </si>
  <si>
    <t>Not Started</t>
  </si>
  <si>
    <t>Launch</t>
  </si>
  <si>
    <t>Task Status</t>
  </si>
  <si>
    <t>Metrics Status</t>
  </si>
  <si>
    <t># Incomplete Metrics</t>
  </si>
  <si>
    <t>10/12/2015</t>
  </si>
  <si>
    <t>10/14/2015</t>
  </si>
  <si>
    <t>10/29/2015</t>
  </si>
  <si>
    <t>11/5/2015</t>
  </si>
  <si>
    <t>11/12/2015</t>
  </si>
  <si>
    <t>11/17/2015</t>
  </si>
  <si>
    <t>11/21/2015</t>
  </si>
  <si>
    <t>FY2015 Budget Application Instructions</t>
  </si>
  <si>
    <t>region06:incomeStatement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</si>
</sst>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409]mmmm\ d\,\ yyyy;@"/>
    <numFmt numFmtId="165" formatCode="_(* #,##0_);_(* \(#,##0\);_(* &quot;-&quot;??_);_(@_)"/>
  </numFmts>
  <fonts count="23" x14ac:knownFonts="1">
    <font>
      <sz val="11"/>
      <color theme="1"/>
      <name val="Calibri"/>
      <family val="2"/>
      <scheme val="minor"/>
    </font>
    <font>
      <sz val="11"/>
      <color indexed="62"/>
      <name val="Calibri"/>
      <family val="2"/>
    </font>
    <font>
      <sz val="11"/>
      <name val="Calibri"/>
      <family val="2"/>
    </font>
    <font>
      <b/>
      <sz val="11"/>
      <color indexed="8"/>
      <name val="Calibri"/>
      <family val="2"/>
    </font>
    <font>
      <b/>
      <sz val="11"/>
      <name val="Calibri"/>
      <family val="2"/>
    </font>
    <font>
      <b/>
      <sz val="14"/>
      <color indexed="62"/>
      <name val="Calibri"/>
      <family val="2"/>
    </font>
    <font>
      <sz val="11"/>
      <color indexed="8"/>
      <name val="Calibri"/>
      <family val="2"/>
    </font>
    <font>
      <sz val="11"/>
      <color theme="1"/>
      <name val="Calibri"/>
      <family val="2"/>
      <scheme val="minor"/>
    </font>
    <font>
      <b/>
      <sz val="11"/>
      <color rgb="FF3F3F3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b/>
      <sz val="11"/>
      <name val="Calibri"/>
      <family val="2"/>
      <scheme val="minor"/>
    </font>
    <font>
      <b/>
      <sz val="12"/>
      <name val="Calibri"/>
      <family val="2"/>
      <scheme val="minor"/>
    </font>
    <font>
      <b/>
      <sz val="12"/>
      <color theme="0"/>
      <name val="Arial"/>
      <family val="2"/>
    </font>
    <font>
      <b/>
      <sz val="9"/>
      <color theme="1"/>
      <name val="Arial"/>
      <family val="2"/>
    </font>
    <font>
      <sz val="9"/>
      <color theme="1"/>
      <name val="Arial"/>
      <family val="2"/>
    </font>
    <font>
      <b/>
      <sz val="9"/>
      <name val="Arial"/>
      <family val="2"/>
    </font>
    <font>
      <b/>
      <sz val="10"/>
      <color rgb="FF3F3F3F"/>
      <name val="Arial"/>
      <family val="2"/>
    </font>
    <font>
      <sz val="9"/>
      <name val="Arial"/>
      <family val="2"/>
    </font>
    <font>
      <b/>
      <sz val="9"/>
      <color rgb="FF3F3F3F"/>
      <name val="Arial"/>
      <family val="2"/>
    </font>
    <font>
      <sz val="11"/>
      <color theme="1"/>
      <name val="Arial"/>
      <family val="2"/>
    </font>
  </fonts>
  <fills count="9">
    <fill>
      <patternFill patternType="none"/>
    </fill>
    <fill>
      <patternFill patternType="gray125"/>
    </fill>
    <fill>
      <patternFill patternType="solid">
        <fgColor indexed="45"/>
        <bgColor indexed="64"/>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theme="0"/>
        <bgColor indexed="64"/>
      </patternFill>
    </fill>
    <fill>
      <patternFill patternType="solid">
        <fgColor theme="3" tint="-0.24994659260841701"/>
        <bgColor indexed="64"/>
      </patternFill>
    </fill>
    <fill>
      <patternFill patternType="solid">
        <fgColor theme="0" tint="-4.9989318521683403E-2"/>
        <bgColor indexed="64"/>
      </patternFill>
    </fill>
  </fills>
  <borders count="12">
    <border>
      <left/>
      <right/>
      <top/>
      <bottom/>
      <diagonal/>
    </border>
    <border>
      <left/>
      <right/>
      <top/>
      <bottom style="medium">
        <color indexed="62"/>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thick">
        <color theme="3" tint="-0.24994659260841701"/>
      </bottom>
      <diagonal/>
    </border>
  </borders>
  <cellStyleXfs count="5">
    <xf numFmtId="0" fontId="0" fillId="0" borderId="0"/>
    <xf numFmtId="43" fontId="7" fillId="0" borderId="0" applyFont="0" applyFill="0" applyBorder="0" applyAlignment="0" applyProtection="0"/>
    <xf numFmtId="0" fontId="8" fillId="3" borderId="10" applyNumberFormat="0" applyAlignment="0" applyProtection="0"/>
    <xf numFmtId="0" fontId="10" fillId="4" borderId="0" applyNumberFormat="0" applyBorder="0" applyAlignment="0" applyProtection="0"/>
    <xf numFmtId="0" fontId="7" fillId="5" borderId="0" applyNumberFormat="0" applyBorder="0" applyAlignment="0" applyProtection="0"/>
  </cellStyleXfs>
  <cellXfs count="73">
    <xf numFmtId="0" fontId="0" fillId="0" borderId="0" xfId="0"/>
    <xf numFmtId="0" fontId="0" fillId="0" borderId="1" xfId="0" applyBorder="1"/>
    <xf numFmtId="0" fontId="0" fillId="0" borderId="0" xfId="0" applyBorder="1"/>
    <xf numFmtId="0" fontId="0" fillId="0" borderId="0" xfId="0" applyBorder="1" applyAlignment="1"/>
    <xf numFmtId="0" fontId="0" fillId="0" borderId="2" xfId="0" applyBorder="1" applyAlignment="1"/>
    <xf numFmtId="0" fontId="3" fillId="0" borderId="0" xfId="0" applyFont="1" applyBorder="1"/>
    <xf numFmtId="0" fontId="3" fillId="0" borderId="0" xfId="0" applyFont="1" applyBorder="1" applyAlignment="1"/>
    <xf numFmtId="0" fontId="3" fillId="0" borderId="0" xfId="0" applyFont="1"/>
    <xf numFmtId="0" fontId="0" fillId="0" borderId="0" xfId="0" applyFill="1" applyBorder="1"/>
    <xf numFmtId="0" fontId="0" fillId="0" borderId="0" xfId="0" applyFill="1" applyBorder="1" applyAlignment="1">
      <alignment horizontal="left" indent="1"/>
    </xf>
    <xf numFmtId="0" fontId="0" fillId="2" borderId="3" xfId="0" applyFill="1" applyBorder="1"/>
    <xf numFmtId="0" fontId="0" fillId="2" borderId="4" xfId="0" applyFill="1" applyBorder="1" applyAlignment="1"/>
    <xf numFmtId="0" fontId="4" fillId="0" borderId="0" xfId="0" applyFont="1" applyBorder="1"/>
    <xf numFmtId="0" fontId="9" fillId="0" borderId="0" xfId="0" applyFont="1"/>
    <xf numFmtId="0" fontId="11" fillId="0" borderId="0" xfId="0" applyFont="1"/>
    <xf numFmtId="0" fontId="0" fillId="0" borderId="0" xfId="0" quotePrefix="1"/>
    <xf numFmtId="0" fontId="11" fillId="0" borderId="0" xfId="0" applyFont="1" applyBorder="1"/>
    <xf numFmtId="0" fontId="0" fillId="6" borderId="0" xfId="0" applyFill="1"/>
    <xf numFmtId="0" fontId="13" fillId="6" borderId="0" xfId="3" applyFont="1" applyFill="1" applyBorder="1" applyAlignment="1">
      <alignment horizontal="center" vertical="center"/>
    </xf>
    <xf numFmtId="0" fontId="14" fillId="6" borderId="0" xfId="3" applyFont="1" applyFill="1" applyBorder="1" applyAlignment="1">
      <alignment horizontal="left" vertical="center"/>
    </xf>
    <xf numFmtId="0" fontId="0" fillId="6" borderId="0" xfId="0" applyFill="1" applyAlignment="1"/>
    <xf numFmtId="0" fontId="15" fillId="7" borderId="0" xfId="0" applyFont="1" applyFill="1" applyBorder="1" applyAlignment="1">
      <alignment vertical="center"/>
    </xf>
    <xf numFmtId="0" fontId="0" fillId="6" borderId="0" xfId="0" applyFill="1" applyBorder="1"/>
    <xf numFmtId="0" fontId="12" fillId="6" borderId="0" xfId="4" applyFont="1" applyFill="1" applyBorder="1"/>
    <xf numFmtId="0" fontId="12" fillId="6" borderId="0" xfId="4" applyFont="1" applyFill="1" applyBorder="1" applyAlignment="1">
      <alignment horizontal="left" indent="1"/>
    </xf>
    <xf numFmtId="0" fontId="11" fillId="6" borderId="0" xfId="4" applyFont="1" applyFill="1" applyBorder="1" applyAlignment="1">
      <alignment horizontal="left" indent="3"/>
    </xf>
    <xf numFmtId="0" fontId="17" fillId="0" borderId="0" xfId="0" applyFont="1" applyBorder="1" applyAlignment="1">
      <alignment horizontal="center"/>
    </xf>
    <xf numFmtId="0" fontId="16" fillId="0" borderId="0" xfId="4" applyFont="1" applyFill="1" applyBorder="1"/>
    <xf numFmtId="0" fontId="16" fillId="0" borderId="0" xfId="4" applyFont="1" applyFill="1" applyBorder="1" applyAlignment="1">
      <alignment horizontal="left" indent="1"/>
    </xf>
    <xf numFmtId="0" fontId="17" fillId="0" borderId="0" xfId="4" applyFont="1" applyFill="1" applyBorder="1" applyAlignment="1">
      <alignment horizontal="left" indent="3"/>
    </xf>
    <xf numFmtId="0" fontId="18" fillId="0" borderId="11" xfId="0" applyNumberFormat="1" applyFont="1" applyFill="1" applyBorder="1" applyAlignment="1" applyProtection="1">
      <alignment horizontal="center" vertical="center"/>
    </xf>
    <xf numFmtId="0" fontId="13" fillId="0" borderId="5" xfId="3" applyFont="1" applyFill="1" applyBorder="1" applyAlignment="1">
      <alignment horizontal="center" vertical="center"/>
    </xf>
    <xf numFmtId="14" fontId="19" fillId="0" borderId="0" xfId="2" applyNumberFormat="1" applyFont="1" applyFill="1" applyBorder="1" applyAlignment="1">
      <alignment horizontal="right"/>
    </xf>
    <xf numFmtId="0" fontId="20" fillId="0" borderId="0" xfId="3" applyFont="1" applyFill="1" applyBorder="1" applyAlignment="1">
      <alignment horizontal="left" vertical="center"/>
    </xf>
    <xf numFmtId="165" fontId="21" fillId="0" borderId="0" xfId="1" applyNumberFormat="1" applyFont="1" applyFill="1" applyBorder="1"/>
    <xf numFmtId="165" fontId="17" fillId="0" borderId="0" xfId="1" applyNumberFormat="1" applyFont="1" applyFill="1" applyBorder="1"/>
    <xf numFmtId="0" fontId="18" fillId="0" borderId="0" xfId="3" applyFont="1" applyFill="1" applyBorder="1" applyAlignment="1">
      <alignment horizontal="left" vertical="center"/>
    </xf>
    <xf numFmtId="165" fontId="16" fillId="0" borderId="0" xfId="1" applyNumberFormat="1" applyFont="1" applyFill="1" applyBorder="1"/>
    <xf numFmtId="0" fontId="20" fillId="0" borderId="0" xfId="0" applyFont="1" applyFill="1" applyBorder="1"/>
    <xf numFmtId="0" fontId="17" fillId="0" borderId="0" xfId="0" applyFont="1" applyFill="1" applyBorder="1"/>
    <xf numFmtId="0" fontId="0" fillId="2" borderId="5" xfId="0" applyFill="1" applyBorder="1" applyAlignment="1">
      <alignment horizontal="left"/>
    </xf>
    <xf numFmtId="0" fontId="0" fillId="2" borderId="4" xfId="0" applyFill="1" applyBorder="1" applyAlignment="1">
      <alignment horizontal="left"/>
    </xf>
    <xf numFmtId="164" fontId="0" fillId="2" borderId="6" xfId="0" quotePrefix="1" applyNumberFormat="1" applyFill="1" applyBorder="1" applyAlignment="1">
      <alignment horizontal="left" indent="1"/>
    </xf>
    <xf numFmtId="164" fontId="0" fillId="2" borderId="7" xfId="0" applyNumberFormat="1" applyFill="1" applyBorder="1" applyAlignment="1">
      <alignment horizontal="left" indent="1"/>
    </xf>
    <xf numFmtId="164" fontId="0" fillId="0" borderId="8" xfId="0" quotePrefix="1" applyNumberFormat="1" applyBorder="1" applyAlignment="1">
      <alignment horizontal="left" indent="1"/>
    </xf>
    <xf numFmtId="164" fontId="0" fillId="0" borderId="0" xfId="0" applyNumberFormat="1" applyBorder="1" applyAlignment="1">
      <alignment horizontal="left" indent="1"/>
    </xf>
    <xf numFmtId="164" fontId="0" fillId="2" borderId="8" xfId="0" quotePrefix="1" applyNumberFormat="1" applyFill="1" applyBorder="1" applyAlignment="1">
      <alignment horizontal="left" indent="1"/>
    </xf>
    <xf numFmtId="164" fontId="0" fillId="2" borderId="0" xfId="0" applyNumberFormat="1" applyFill="1" applyBorder="1" applyAlignment="1">
      <alignment horizontal="left" indent="1"/>
    </xf>
    <xf numFmtId="164" fontId="0" fillId="2" borderId="9" xfId="0" quotePrefix="1" applyNumberFormat="1" applyFill="1" applyBorder="1" applyAlignment="1">
      <alignment horizontal="left" indent="1"/>
    </xf>
    <xf numFmtId="164" fontId="0" fillId="2" borderId="5" xfId="0" applyNumberFormat="1" applyFill="1" applyBorder="1" applyAlignment="1">
      <alignment horizontal="left" indent="1"/>
    </xf>
    <xf numFmtId="0" fontId="0" fillId="2" borderId="7" xfId="0" applyFill="1" applyBorder="1" applyAlignment="1">
      <alignment horizontal="left"/>
    </xf>
    <xf numFmtId="0" fontId="0" fillId="2" borderId="3" xfId="0" applyFill="1" applyBorder="1" applyAlignment="1">
      <alignment horizontal="left"/>
    </xf>
    <xf numFmtId="0" fontId="0" fillId="0" borderId="0" xfId="0" applyBorder="1" applyAlignment="1">
      <alignment horizontal="left"/>
    </xf>
    <xf numFmtId="0" fontId="0" fillId="0" borderId="2" xfId="0" applyBorder="1" applyAlignment="1">
      <alignment horizontal="left"/>
    </xf>
    <xf numFmtId="0" fontId="0" fillId="0" borderId="0" xfId="0" applyFill="1" applyBorder="1" applyAlignment="1">
      <alignment horizontal="left"/>
    </xf>
    <xf numFmtId="0" fontId="0" fillId="0" borderId="2" xfId="0" applyFill="1" applyBorder="1" applyAlignment="1">
      <alignment horizontal="left"/>
    </xf>
    <xf numFmtId="0" fontId="0" fillId="2" borderId="0" xfId="0" applyFill="1" applyBorder="1" applyAlignment="1">
      <alignment horizontal="left"/>
    </xf>
    <xf numFmtId="0" fontId="0" fillId="2" borderId="2" xfId="0" applyFill="1" applyBorder="1" applyAlignment="1">
      <alignment horizontal="left"/>
    </xf>
    <xf numFmtId="0" fontId="5" fillId="0" borderId="0" xfId="0" applyFont="1" applyAlignment="1">
      <alignment horizontal="left"/>
    </xf>
    <xf numFmtId="0" fontId="0" fillId="2" borderId="6" xfId="0" applyFill="1" applyBorder="1" applyAlignment="1">
      <alignment horizontal="left" indent="1"/>
    </xf>
    <xf numFmtId="0" fontId="0" fillId="2" borderId="7" xfId="0" applyFill="1" applyBorder="1" applyAlignment="1">
      <alignment horizontal="left" indent="1"/>
    </xf>
    <xf numFmtId="0" fontId="0" fillId="0" borderId="8" xfId="0" applyBorder="1" applyAlignment="1">
      <alignment horizontal="left" indent="1"/>
    </xf>
    <xf numFmtId="0" fontId="0" fillId="0" borderId="0" xfId="0" applyBorder="1" applyAlignment="1">
      <alignment horizontal="left" indent="1"/>
    </xf>
    <xf numFmtId="0" fontId="0" fillId="2" borderId="9" xfId="0" applyFill="1" applyBorder="1" applyAlignment="1">
      <alignment horizontal="left" indent="1"/>
    </xf>
    <xf numFmtId="0" fontId="0" fillId="2" borderId="5" xfId="0" applyFill="1" applyBorder="1" applyAlignment="1">
      <alignment horizontal="left" indent="1"/>
    </xf>
    <xf numFmtId="0" fontId="0" fillId="0" borderId="0" xfId="0" applyAlignment="1">
      <alignment horizontal="left" vertical="top" wrapText="1"/>
    </xf>
    <xf numFmtId="0" fontId="6" fillId="0" borderId="0" xfId="0" applyFont="1" applyAlignment="1">
      <alignment horizontal="left" vertical="top" wrapText="1"/>
    </xf>
    <xf numFmtId="0" fontId="17" fillId="0" borderId="0" xfId="0" applyFont="1" applyBorder="1" applyAlignment="1">
      <alignment horizontal="center"/>
    </xf>
    <xf numFmtId="43" fontId="17" fillId="0" borderId="0" xfId="1" applyFont="1" applyBorder="1" applyAlignment="1">
      <alignment horizontal="center"/>
    </xf>
    <xf numFmtId="49" fontId="18" fillId="8" borderId="0" xfId="0" applyNumberFormat="1" applyFont="1" applyFill="1" applyBorder="1" applyAlignment="1">
      <alignment horizontal="center" vertical="center"/>
    </xf>
    <xf numFmtId="0" fontId="0" fillId="0" borderId="0" xfId="0" applyAlignment="1">
      <alignment horizontal="center" vertical="center"/>
    </xf>
    <xf numFmtId="0" fontId="16" fillId="0" borderId="0" xfId="4" applyFont="1" applyFill="1" applyBorder="1" applyAlignment="1">
      <alignment horizontal="center" vertical="center"/>
    </xf>
    <xf numFmtId="0" fontId="22" fillId="0" borderId="0" xfId="0" applyFont="1" applyFill="1" applyBorder="1" applyAlignment="1">
      <alignment horizontal="center" vertical="center"/>
    </xf>
  </cellXfs>
  <cellStyles count="5">
    <cellStyle name="40% - Accent1" xfId="4" builtinId="31"/>
    <cellStyle name="Accent1" xfId="3" builtinId="29"/>
    <cellStyle name="Comma" xfId="1" builtinId="3"/>
    <cellStyle name="Normal" xfId="0" builtinId="0"/>
    <cellStyle name="Output" xfId="2" builtinId="21"/>
  </cellStyles>
  <dxfs count="9">
    <dxf>
      <fill>
        <patternFill>
          <bgColor rgb="FF00B050"/>
        </patternFill>
      </fill>
    </dxf>
    <dxf>
      <fill>
        <patternFill>
          <bgColor rgb="FFFF4343"/>
        </patternFill>
      </fill>
    </dxf>
    <dxf>
      <fill>
        <patternFill>
          <bgColor rgb="FFFF4747"/>
        </patternFill>
      </fill>
    </dxf>
    <dxf>
      <font>
        <color theme="1"/>
      </font>
      <fill>
        <patternFill>
          <bgColor rgb="FFFF4B4B"/>
        </patternFill>
      </fill>
    </dxf>
    <dxf>
      <font>
        <color theme="1"/>
      </font>
      <fill>
        <patternFill>
          <bgColor rgb="FF8BC43F"/>
        </patternFill>
      </fill>
    </dxf>
    <dxf>
      <font>
        <color theme="9"/>
      </font>
    </dxf>
    <dxf>
      <font>
        <color rgb="FF92D050"/>
      </font>
    </dxf>
    <dxf>
      <font>
        <color rgb="FFFF4B4B"/>
      </font>
    </dxf>
    <dxf>
      <fill>
        <patternFill>
          <bgColor rgb="FFFF3B3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546EAB"/>
      <rgbColor rgb="00888FAC"/>
      <rgbColor rgb="000000FF"/>
      <rgbColor rgb="00830E17"/>
      <rgbColor rgb="00CDB79E"/>
      <rgbColor rgb="00FFD08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BDD6E7"/>
      <rgbColor rgb="00F8F8F8"/>
      <rgbColor rgb="00CC99FF"/>
      <rgbColor rgb="00FFCC99"/>
      <rgbColor rgb="003366FF"/>
      <rgbColor rgb="0033CCCC"/>
      <rgbColor rgb="00E5E5E5"/>
      <rgbColor rgb="00D6DDEA"/>
      <rgbColor rgb="0099AACC"/>
      <rgbColor rgb="00E56565"/>
      <rgbColor rgb="00666699"/>
      <rgbColor rgb="00969696"/>
      <rgbColor rgb="0039CF08"/>
      <rgbColor rgb="00FFFAFA"/>
      <rgbColor rgb="00D6595A"/>
      <rgbColor rgb="00FFBE31"/>
      <rgbColor rgb="00993300"/>
      <rgbColor rgb="00993366"/>
      <rgbColor rgb="00333399"/>
      <rgbColor rgb="00333333"/>
    </indexedColors>
    <mruColors>
      <color rgb="FFFF4B4B"/>
      <color rgb="FFFF3B3B"/>
      <color rgb="FFFF4747"/>
      <color rgb="FFFF4343"/>
      <color rgb="FF8BC43F"/>
      <color rgb="FFF3AB40"/>
      <color rgb="FF66CBFD"/>
      <color rgb="FFB7D2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activeX1.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958"/>
  <ax:ocxPr ax:name="_ExtentY" ax:value="1376"/>
  <ax:ocxPr ax:name="_StockProps" ax:value="0"/>
  <ax:ocxPr ax:name="ServerName" ax:value="smartco"/>
  <ax:ocxPr ax:name="ProcessName" ax:value="-- Get Process info from Worksheet --"/>
  <ax:ocxPr ax:name="Name" ax:value=""/>
  <ax:ocxPr ax:name="Type" ax:value=""/>
  <ax:ocxPr ax:name="Value" ax:value=""/>
  <ax:ocxPr ax:name="Prompt" ax:value=""/>
  <ax:ocxPr ax:name="BackColor" ax:value="15520439"/>
  <ax:ocxPr ax:name="ForeColor" ax:value="0"/>
  <ax:ocxPr ax:name="Font">
    <ax:font ax:persistence="persistPropertyBag">
      <ax:ocxPr ax:name="Name" ax:value="Arial"/>
      <ax:ocxPr ax:name="Size" ax:value="9.75"/>
      <ax:ocxPr ax:name="Charset" ax:value="0"/>
      <ax:ocxPr ax:name="Weight" ax:value="700"/>
      <ax:ocxPr ax:name="Underline" ax:value="0"/>
      <ax:ocxPr ax:name="Italic" ax:value="0"/>
      <ax:ocxPr ax:name="Strikethrough" ax:value="0"/>
    </ax:font>
  </ax:ocxPr>
  <ax:ocxPr ax:name="Caption" ax:value="Tasks"/>
  <ax:ocxPr ax:name="UseFormula" ax:value="-1"/>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Intro"/>
  <ax:ocxPr ax:name="TargetWorksheetName" ax:value="Tasks"/>
  <ax:ocxPr ax:name="AutoTitles" ax:value="0"/>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0"/>
  <ax:ocxPr ax:name="DoRunTI" ax:value="0"/>
  <ax:ocxPr ax:name="DoNavigate" ax:value="-1"/>
  <ax:ocxPr ax:name="UseApporg" ax:value="-1"/>
  <ax:ocxPr ax:name="Version" ax:value="6"/>
  <ax:ocxPr ax:name="PreRecalc" ax:value="0"/>
  <ax:ocxPr ax:name="WorkSheetRecalc" ax:value="1"/>
  <ax:ocxPr ax:name="ProcessRecalc" ax:value="1"/>
  <ax:ocxPr ax:name="DoReCalcOnly" ax:value="0"/>
  <ax:ocxPr ax:name="UseReferenceForServerName" ax:value="0"/>
  <ax:ocxPr ax:name="ResizeButtonToCaption" ax:value="-1"/>
</ax:ocx>
</file>

<file path=xl/activeX/activeX2.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Revenue"/>
  <ax:ocxPr ax:name="TargetWorksheetName" ax:value="ProductAdmin"/>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3.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Capital"/>
  <ax:ocxPr ax:name="TargetWorksheetName" ax:value="Capital"/>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4.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OperatingExpense"/>
  <ax:ocxPr ax:name="TargetWorksheetName" ax:value="LineItemDetail"/>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5.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PL"/>
  <ax:ocxPr ax:name="TargetWorksheetName" ax:value="AllocDetail"/>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6.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164"/>
  <ax:ocxPr ax:name="_ExtentY" ax:value="794"/>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Revenue"/>
  <ax:ocxPr ax:name="TargetWorksheetName" ax:value="UnitFcst"/>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0"/>
</ax:ocx>
</file>

<file path=xl/activeX/activeX7.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EmployeeDetails"/>
  <ax:ocxPr ax:name="TargetWorksheetName" ax:value="Employees"/>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8.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75"/>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EmployeeDetails"/>
  <ax:ocxPr ax:name="TargetWorksheetName" ax:value="Report"/>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9.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Capital"/>
  <ax:ocxPr ax:name="TargetWorksheetName" ax:value="Depreciation"/>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10.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OperatingExpense"/>
  <ax:ocxPr ax:name="TargetWorksheetName" ax:value="PhasedCosts"/>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11.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PL"/>
  <ax:ocxPr ax:name="TargetWorksheetName" ax:value="Fcst"/>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12.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PL"/>
  <ax:ocxPr ax:name="TargetWorksheetName" ax:value="FxVar"/>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activeX/activeX13.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746"/>
  <ax:ocxPr ax:name="_ExtentY" ax:value="688"/>
  <ax:ocxPr ax:name="_StockProps" ax:value="0"/>
  <ax:ocxPr ax:name="ServerName" ax:value="Region06"/>
  <ax:ocxPr ax:name="ProcessName" ax:value="Acquire_IS"/>
  <ax:ocxPr ax:name="Name" ax:value=""/>
  <ax:ocxPr ax:name="Type" ax:value=""/>
  <ax:ocxPr ax:name="Value" ax:value=""/>
  <ax:ocxPr ax:name="Prompt" ax:value=""/>
  <ax:ocxPr ax:name="BackColor" ax:value="13160660"/>
  <ax:ocxPr ax:name="ForeColor" ax:value="0"/>
  <ax:ocxPr ax:name="Font">
    <ax:font ax:persistence="persistPropertyBag">
      <ax:ocxPr ax:name="Name" ax:value="Arial"/>
      <ax:ocxPr ax:name="Size" ax:value="9"/>
      <ax:ocxPr ax:name="Charset" ax:value="0"/>
      <ax:ocxPr ax:name="Weight" ax:value="400"/>
      <ax:ocxPr ax:name="Underline" ax:value="0"/>
      <ax:ocxPr ax:name="Italic" ax:value="0"/>
      <ax:ocxPr ax:name="Strikethrough" ax:value="0"/>
    </ax:font>
  </ax:ocxPr>
  <ax:ocxPr ax:name="Caption" ax:value="Launch"/>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1"/>
  <ax:ocxPr ax:name="ShowFailureMessage" ax:value="-1"/>
  <ax:ocxPr ax:name="TargetWorkbookName" ax:value="Contribution\PL"/>
  <ax:ocxPr ax:name="TargetWorksheetName" ax:value="PLReport"/>
  <ax:ocxPr ax:name="AutoTitles" ax:value="-1"/>
  <ax:ocxPr ax:name="ReplaceWindow" ax:value="0"/>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1"/>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0"/>
  <ax:ocxPr ax:name="ResizeButtonToCaption" ax:value="-1"/>
</ax:ocx>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Tasks</c:v>
          </c:tx>
          <c:spPr>
            <a:solidFill>
              <a:srgbClr val="66CBFD"/>
            </a:solidFill>
            <a:ln>
              <a:noFill/>
            </a:ln>
          </c:spPr>
          <c:dPt>
            <c:idx val="1"/>
            <c:bubble3D val="0"/>
            <c:spPr>
              <a:solidFill>
                <a:srgbClr val="F3AB40"/>
              </a:solidFill>
              <a:ln>
                <a:noFill/>
              </a:ln>
            </c:spPr>
          </c:dPt>
          <c:cat>
            <c:strRef>
              <c:f>Status!$B$13:$D$14</c:f>
              <c:strCache>
                <c:ptCount val="2"/>
                <c:pt idx="0">
                  <c:v>Tasks Completed</c:v>
                </c:pt>
                <c:pt idx="1">
                  <c:v>Tasks Remaining</c:v>
                </c:pt>
              </c:strCache>
            </c:strRef>
          </c:cat>
          <c:val>
            <c:numRef>
              <c:f>Status!$E$13:$E$14</c:f>
              <c:numCache>
                <c:formatCode>General</c:formatCode>
                <c:ptCount val="2"/>
                <c:pt idx="0">
                  <c:v>7</c:v>
                </c:pt>
                <c:pt idx="1">
                  <c:v>5</c:v>
                </c:pt>
              </c:numCache>
            </c:numRef>
          </c:val>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spPr>
    <a:ln w="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12" Type="http://schemas.openxmlformats.org/officeDocument/2006/relationships/image" Target="../media/image14.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11" Type="http://schemas.openxmlformats.org/officeDocument/2006/relationships/image" Target="../media/image13.emf"/><Relationship Id="rId5" Type="http://schemas.openxmlformats.org/officeDocument/2006/relationships/image" Target="../media/image7.emf"/><Relationship Id="rId10" Type="http://schemas.openxmlformats.org/officeDocument/2006/relationships/image" Target="../media/image12.emf"/><Relationship Id="rId4" Type="http://schemas.openxmlformats.org/officeDocument/2006/relationships/image" Target="../media/image6.emf"/><Relationship Id="rId9"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38100</xdr:rowOff>
    </xdr:from>
    <xdr:to>
      <xdr:col>1</xdr:col>
      <xdr:colOff>1600200</xdr:colOff>
      <xdr:row>8</xdr:row>
      <xdr:rowOff>9525</xdr:rowOff>
    </xdr:to>
    <xdr:pic>
      <xdr:nvPicPr>
        <xdr:cNvPr id="1036" name="Picture 4" descr="Teal CIB_GenBus_hex.jp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38100"/>
          <a:ext cx="1600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9</xdr:col>
          <xdr:colOff>171450</xdr:colOff>
          <xdr:row>18</xdr:row>
          <xdr:rowOff>180975</xdr:rowOff>
        </xdr:from>
        <xdr:to>
          <xdr:col>10</xdr:col>
          <xdr:colOff>266700</xdr:colOff>
          <xdr:row>21</xdr:row>
          <xdr:rowOff>104775</xdr:rowOff>
        </xdr:to>
        <xdr:sp macro="" textlink="">
          <xdr:nvSpPr>
            <xdr:cNvPr id="1025" name="TIButton1" hidden="1">
              <a:extLst>
                <a:ext uri="{63B3BB69-23CF-44E3-9099-C40C66FF867C}">
                  <a14:compatExt spid="_x0000_s1025"/>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28575</xdr:colOff>
          <xdr:row>6</xdr:row>
          <xdr:rowOff>171450</xdr:rowOff>
        </xdr:from>
        <xdr:to>
          <xdr:col>6</xdr:col>
          <xdr:colOff>657225</xdr:colOff>
          <xdr:row>8</xdr:row>
          <xdr:rowOff>38100</xdr:rowOff>
        </xdr:to>
        <xdr:sp macro="" textlink="">
          <xdr:nvSpPr>
            <xdr:cNvPr id="3073" name="TIButton1" hidden="1">
              <a:extLst>
                <a:ext uri="{63B3BB69-23CF-44E3-9099-C40C66FF867C}">
                  <a14:compatExt spid="_x0000_s3073"/>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13</xdr:row>
          <xdr:rowOff>0</xdr:rowOff>
        </xdr:from>
        <xdr:to>
          <xdr:col>6</xdr:col>
          <xdr:colOff>666750</xdr:colOff>
          <xdr:row>14</xdr:row>
          <xdr:rowOff>57150</xdr:rowOff>
        </xdr:to>
        <xdr:sp macro="" textlink="">
          <xdr:nvSpPr>
            <xdr:cNvPr id="3075" name="TIButton3" hidden="1">
              <a:extLst>
                <a:ext uri="{63B3BB69-23CF-44E3-9099-C40C66FF867C}">
                  <a14:compatExt spid="_x0000_s3075"/>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15</xdr:row>
          <xdr:rowOff>180975</xdr:rowOff>
        </xdr:from>
        <xdr:to>
          <xdr:col>6</xdr:col>
          <xdr:colOff>666750</xdr:colOff>
          <xdr:row>17</xdr:row>
          <xdr:rowOff>47625</xdr:rowOff>
        </xdr:to>
        <xdr:sp macro="" textlink="">
          <xdr:nvSpPr>
            <xdr:cNvPr id="3076" name="TIButton4" hidden="1">
              <a:extLst>
                <a:ext uri="{63B3BB69-23CF-44E3-9099-C40C66FF867C}">
                  <a14:compatExt spid="_x0000_s3076"/>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18</xdr:row>
          <xdr:rowOff>152400</xdr:rowOff>
        </xdr:from>
        <xdr:to>
          <xdr:col>6</xdr:col>
          <xdr:colOff>666750</xdr:colOff>
          <xdr:row>20</xdr:row>
          <xdr:rowOff>19050</xdr:rowOff>
        </xdr:to>
        <xdr:sp macro="" textlink="">
          <xdr:nvSpPr>
            <xdr:cNvPr id="3077" name="TIButton5" hidden="1">
              <a:extLst>
                <a:ext uri="{63B3BB69-23CF-44E3-9099-C40C66FF867C}">
                  <a14:compatExt spid="_x0000_s3077"/>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9525</xdr:rowOff>
        </xdr:from>
        <xdr:to>
          <xdr:col>6</xdr:col>
          <xdr:colOff>581025</xdr:colOff>
          <xdr:row>9</xdr:row>
          <xdr:rowOff>9525</xdr:rowOff>
        </xdr:to>
        <xdr:sp macro="" textlink="">
          <xdr:nvSpPr>
            <xdr:cNvPr id="3078" name="TIButton6" hidden="1">
              <a:extLst>
                <a:ext uri="{63B3BB69-23CF-44E3-9099-C40C66FF867C}">
                  <a14:compatExt spid="_x0000_s3078"/>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xdr:row>
          <xdr:rowOff>9525</xdr:rowOff>
        </xdr:from>
        <xdr:to>
          <xdr:col>6</xdr:col>
          <xdr:colOff>676275</xdr:colOff>
          <xdr:row>11</xdr:row>
          <xdr:rowOff>66675</xdr:rowOff>
        </xdr:to>
        <xdr:sp macro="" textlink="">
          <xdr:nvSpPr>
            <xdr:cNvPr id="3080" name="TIButton8" hidden="1">
              <a:extLst>
                <a:ext uri="{63B3BB69-23CF-44E3-9099-C40C66FF867C}">
                  <a14:compatExt spid="_x0000_s3080"/>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xdr:row>
          <xdr:rowOff>180975</xdr:rowOff>
        </xdr:from>
        <xdr:to>
          <xdr:col>6</xdr:col>
          <xdr:colOff>676275</xdr:colOff>
          <xdr:row>12</xdr:row>
          <xdr:rowOff>47625</xdr:rowOff>
        </xdr:to>
        <xdr:sp macro="" textlink="">
          <xdr:nvSpPr>
            <xdr:cNvPr id="3081" name="TIButton9" hidden="1">
              <a:extLst>
                <a:ext uri="{63B3BB69-23CF-44E3-9099-C40C66FF867C}">
                  <a14:compatExt spid="_x0000_s3081"/>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13</xdr:row>
          <xdr:rowOff>171450</xdr:rowOff>
        </xdr:from>
        <xdr:to>
          <xdr:col>6</xdr:col>
          <xdr:colOff>666750</xdr:colOff>
          <xdr:row>15</xdr:row>
          <xdr:rowOff>38100</xdr:rowOff>
        </xdr:to>
        <xdr:sp macro="" textlink="">
          <xdr:nvSpPr>
            <xdr:cNvPr id="3082" name="TIButton10" hidden="1">
              <a:extLst>
                <a:ext uri="{63B3BB69-23CF-44E3-9099-C40C66FF867C}">
                  <a14:compatExt spid="_x0000_s3082"/>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16</xdr:row>
          <xdr:rowOff>161925</xdr:rowOff>
        </xdr:from>
        <xdr:to>
          <xdr:col>6</xdr:col>
          <xdr:colOff>666750</xdr:colOff>
          <xdr:row>18</xdr:row>
          <xdr:rowOff>28575</xdr:rowOff>
        </xdr:to>
        <xdr:sp macro="" textlink="">
          <xdr:nvSpPr>
            <xdr:cNvPr id="3083" name="TIButton11" hidden="1">
              <a:extLst>
                <a:ext uri="{63B3BB69-23CF-44E3-9099-C40C66FF867C}">
                  <a14:compatExt spid="_x0000_s3083"/>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19</xdr:row>
          <xdr:rowOff>171450</xdr:rowOff>
        </xdr:from>
        <xdr:to>
          <xdr:col>6</xdr:col>
          <xdr:colOff>666750</xdr:colOff>
          <xdr:row>21</xdr:row>
          <xdr:rowOff>38100</xdr:rowOff>
        </xdr:to>
        <xdr:sp macro="" textlink="">
          <xdr:nvSpPr>
            <xdr:cNvPr id="3084" name="TIButton12" hidden="1">
              <a:extLst>
                <a:ext uri="{63B3BB69-23CF-44E3-9099-C40C66FF867C}">
                  <a14:compatExt spid="_x0000_s3084"/>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20</xdr:row>
          <xdr:rowOff>142875</xdr:rowOff>
        </xdr:from>
        <xdr:to>
          <xdr:col>6</xdr:col>
          <xdr:colOff>666750</xdr:colOff>
          <xdr:row>22</xdr:row>
          <xdr:rowOff>9525</xdr:rowOff>
        </xdr:to>
        <xdr:sp macro="" textlink="">
          <xdr:nvSpPr>
            <xdr:cNvPr id="3085" name="TIButton13" hidden="1">
              <a:extLst>
                <a:ext uri="{63B3BB69-23CF-44E3-9099-C40C66FF867C}">
                  <a14:compatExt spid="_x0000_s3085"/>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21</xdr:row>
          <xdr:rowOff>133350</xdr:rowOff>
        </xdr:from>
        <xdr:to>
          <xdr:col>6</xdr:col>
          <xdr:colOff>676275</xdr:colOff>
          <xdr:row>23</xdr:row>
          <xdr:rowOff>0</xdr:rowOff>
        </xdr:to>
        <xdr:sp macro="" textlink="">
          <xdr:nvSpPr>
            <xdr:cNvPr id="3086" name="TIButton14" hidden="1">
              <a:extLst>
                <a:ext uri="{63B3BB69-23CF-44E3-9099-C40C66FF867C}">
                  <a14:compatExt spid="_x0000_s3086"/>
                </a:ext>
              </a:extLst>
            </xdr:cNvPr>
            <xdr:cNvSpPr/>
          </xdr:nvSpPr>
          <xdr:spPr>
            <a:xfrm>
              <a:off x="0" y="0"/>
              <a:ext cx="0" cy="0"/>
            </a:xfrm>
            <a:prstGeom prst="rect">
              <a:avLst/>
            </a:prstGeom>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95251</xdr:colOff>
      <xdr:row>14</xdr:row>
      <xdr:rowOff>142874</xdr:rowOff>
    </xdr:from>
    <xdr:to>
      <xdr:col>6</xdr:col>
      <xdr:colOff>190501</xdr:colOff>
      <xdr:row>24</xdr:row>
      <xdr:rowOff>152399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image" Target="../media/image7.emf"/><Relationship Id="rId18" Type="http://schemas.openxmlformats.org/officeDocument/2006/relationships/control" Target="../activeX/activeX9.xml"/><Relationship Id="rId26" Type="http://schemas.openxmlformats.org/officeDocument/2006/relationships/control" Target="../activeX/activeX13.xml"/><Relationship Id="rId3" Type="http://schemas.openxmlformats.org/officeDocument/2006/relationships/vmlDrawing" Target="../drawings/vmlDrawing2.vml"/><Relationship Id="rId21" Type="http://schemas.openxmlformats.org/officeDocument/2006/relationships/image" Target="../media/image11.emf"/><Relationship Id="rId7" Type="http://schemas.openxmlformats.org/officeDocument/2006/relationships/image" Target="../media/image4.emf"/><Relationship Id="rId12" Type="http://schemas.openxmlformats.org/officeDocument/2006/relationships/control" Target="../activeX/activeX6.xml"/><Relationship Id="rId17" Type="http://schemas.openxmlformats.org/officeDocument/2006/relationships/image" Target="../media/image9.emf"/><Relationship Id="rId25" Type="http://schemas.openxmlformats.org/officeDocument/2006/relationships/image" Target="../media/image13.emf"/><Relationship Id="rId2" Type="http://schemas.openxmlformats.org/officeDocument/2006/relationships/drawing" Target="../drawings/drawing2.xml"/><Relationship Id="rId16" Type="http://schemas.openxmlformats.org/officeDocument/2006/relationships/control" Target="../activeX/activeX8.xml"/><Relationship Id="rId20" Type="http://schemas.openxmlformats.org/officeDocument/2006/relationships/control" Target="../activeX/activeX10.xml"/><Relationship Id="rId1" Type="http://schemas.openxmlformats.org/officeDocument/2006/relationships/printerSettings" Target="../printerSettings/printerSettings2.bin"/><Relationship Id="rId6" Type="http://schemas.openxmlformats.org/officeDocument/2006/relationships/control" Target="../activeX/activeX3.xml"/><Relationship Id="rId11" Type="http://schemas.openxmlformats.org/officeDocument/2006/relationships/image" Target="../media/image6.emf"/><Relationship Id="rId24" Type="http://schemas.openxmlformats.org/officeDocument/2006/relationships/control" Target="../activeX/activeX12.xml"/><Relationship Id="rId5" Type="http://schemas.openxmlformats.org/officeDocument/2006/relationships/image" Target="../media/image3.emf"/><Relationship Id="rId15" Type="http://schemas.openxmlformats.org/officeDocument/2006/relationships/image" Target="../media/image8.emf"/><Relationship Id="rId23" Type="http://schemas.openxmlformats.org/officeDocument/2006/relationships/image" Target="../media/image12.emf"/><Relationship Id="rId10" Type="http://schemas.openxmlformats.org/officeDocument/2006/relationships/control" Target="../activeX/activeX5.xml"/><Relationship Id="rId19" Type="http://schemas.openxmlformats.org/officeDocument/2006/relationships/image" Target="../media/image10.emf"/><Relationship Id="rId4" Type="http://schemas.openxmlformats.org/officeDocument/2006/relationships/control" Target="../activeX/activeX2.xml"/><Relationship Id="rId9" Type="http://schemas.openxmlformats.org/officeDocument/2006/relationships/image" Target="../media/image5.emf"/><Relationship Id="rId14" Type="http://schemas.openxmlformats.org/officeDocument/2006/relationships/control" Target="../activeX/activeX7.xml"/><Relationship Id="rId22" Type="http://schemas.openxmlformats.org/officeDocument/2006/relationships/control" Target="../activeX/activeX11.xml"/><Relationship Id="rId27" Type="http://schemas.openxmlformats.org/officeDocument/2006/relationships/image" Target="../media/image14.emf"/></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B2:L24"/>
  <sheetViews>
    <sheetView showGridLines="0" tabSelected="1" workbookViewId="0">
      <selection activeCell="B10" sqref="B10:L13"/>
    </sheetView>
  </sheetViews>
  <sheetFormatPr defaultRowHeight="15" x14ac:dyDescent="0.25"/>
  <cols>
    <col min="1" max="1" width="3.7109375" customWidth="1"/>
    <col min="2" max="2" width="26.85546875" customWidth="1"/>
    <col min="3" max="3" width="2" customWidth="1"/>
    <col min="6" max="6" width="19.42578125" customWidth="1"/>
    <col min="7" max="7" width="3.28515625" customWidth="1"/>
    <col min="12" max="12" width="11.5703125" customWidth="1"/>
  </cols>
  <sheetData>
    <row r="2" spans="2:12" ht="18.75" x14ac:dyDescent="0.3">
      <c r="F2" s="58" t="s">
        <v>74</v>
      </c>
      <c r="G2" s="58"/>
      <c r="H2" s="58"/>
      <c r="I2" s="58"/>
      <c r="J2" s="58"/>
      <c r="K2" s="58"/>
      <c r="L2" s="58"/>
    </row>
    <row r="3" spans="2:12" ht="15.75" thickBot="1" x14ac:dyDescent="0.3">
      <c r="B3" s="1"/>
      <c r="C3" s="1"/>
      <c r="D3" s="1"/>
      <c r="E3" s="1"/>
      <c r="F3" s="1"/>
      <c r="G3" s="1"/>
      <c r="H3" s="1"/>
      <c r="I3" s="1"/>
      <c r="J3" s="1"/>
      <c r="K3" s="1"/>
      <c r="L3" s="1"/>
    </row>
    <row r="5" spans="2:12" ht="15" customHeight="1" x14ac:dyDescent="0.25">
      <c r="C5" s="66" t="s">
        <v>19</v>
      </c>
      <c r="D5" s="66"/>
      <c r="E5" s="66"/>
      <c r="F5" s="66"/>
      <c r="G5" s="66"/>
      <c r="H5" s="66"/>
      <c r="I5" s="66"/>
      <c r="J5" s="66"/>
      <c r="K5" s="66"/>
      <c r="L5" s="66"/>
    </row>
    <row r="6" spans="2:12" x14ac:dyDescent="0.25">
      <c r="C6" s="66"/>
      <c r="D6" s="66"/>
      <c r="E6" s="66"/>
      <c r="F6" s="66"/>
      <c r="G6" s="66"/>
      <c r="H6" s="66"/>
      <c r="I6" s="66"/>
      <c r="J6" s="66"/>
      <c r="K6" s="66"/>
      <c r="L6" s="66"/>
    </row>
    <row r="7" spans="2:12" x14ac:dyDescent="0.25">
      <c r="C7" s="66"/>
      <c r="D7" s="66"/>
      <c r="E7" s="66"/>
      <c r="F7" s="66"/>
      <c r="G7" s="66"/>
      <c r="H7" s="66"/>
      <c r="I7" s="66"/>
      <c r="J7" s="66"/>
      <c r="K7" s="66"/>
      <c r="L7" s="66"/>
    </row>
    <row r="8" spans="2:12" x14ac:dyDescent="0.25">
      <c r="C8" s="66"/>
      <c r="D8" s="66"/>
      <c r="E8" s="66"/>
      <c r="F8" s="66"/>
      <c r="G8" s="66"/>
      <c r="H8" s="66"/>
      <c r="I8" s="66"/>
      <c r="J8" s="66"/>
      <c r="K8" s="66"/>
      <c r="L8" s="66"/>
    </row>
    <row r="9" spans="2:12" ht="10.5" customHeight="1" x14ac:dyDescent="0.25">
      <c r="C9" s="66"/>
      <c r="D9" s="66"/>
      <c r="E9" s="66"/>
      <c r="F9" s="66"/>
      <c r="G9" s="66"/>
      <c r="H9" s="66"/>
      <c r="I9" s="66"/>
      <c r="J9" s="66"/>
      <c r="K9" s="66"/>
      <c r="L9" s="66"/>
    </row>
    <row r="10" spans="2:12" ht="15" customHeight="1" x14ac:dyDescent="0.25">
      <c r="B10" s="65" t="s">
        <v>20</v>
      </c>
      <c r="C10" s="65"/>
      <c r="D10" s="65"/>
      <c r="E10" s="65"/>
      <c r="F10" s="65"/>
      <c r="G10" s="65"/>
      <c r="H10" s="65"/>
      <c r="I10" s="65"/>
      <c r="J10" s="65"/>
      <c r="K10" s="65"/>
      <c r="L10" s="65"/>
    </row>
    <row r="11" spans="2:12" x14ac:dyDescent="0.25">
      <c r="B11" s="65"/>
      <c r="C11" s="65"/>
      <c r="D11" s="65"/>
      <c r="E11" s="65"/>
      <c r="F11" s="65"/>
      <c r="G11" s="65"/>
      <c r="H11" s="65"/>
      <c r="I11" s="65"/>
      <c r="J11" s="65"/>
      <c r="K11" s="65"/>
      <c r="L11" s="65"/>
    </row>
    <row r="12" spans="2:12" x14ac:dyDescent="0.25">
      <c r="B12" s="65"/>
      <c r="C12" s="65"/>
      <c r="D12" s="65"/>
      <c r="E12" s="65"/>
      <c r="F12" s="65"/>
      <c r="G12" s="65"/>
      <c r="H12" s="65"/>
      <c r="I12" s="65"/>
      <c r="J12" s="65"/>
      <c r="K12" s="65"/>
      <c r="L12" s="65"/>
    </row>
    <row r="13" spans="2:12" x14ac:dyDescent="0.25">
      <c r="B13" s="65"/>
      <c r="C13" s="65"/>
      <c r="D13" s="65"/>
      <c r="E13" s="65"/>
      <c r="F13" s="65"/>
      <c r="G13" s="65"/>
      <c r="H13" s="65"/>
      <c r="I13" s="65"/>
      <c r="J13" s="65"/>
      <c r="K13" s="65"/>
      <c r="L13" s="65"/>
    </row>
    <row r="14" spans="2:12" x14ac:dyDescent="0.25">
      <c r="B14" s="12" t="s">
        <v>0</v>
      </c>
      <c r="C14" s="2"/>
      <c r="D14" s="3"/>
      <c r="E14" s="3"/>
      <c r="F14" s="3"/>
      <c r="G14" s="3"/>
      <c r="H14" s="6" t="s">
        <v>10</v>
      </c>
      <c r="I14" s="3"/>
      <c r="J14" s="3"/>
      <c r="K14" s="3"/>
      <c r="L14" s="3"/>
    </row>
    <row r="15" spans="2:12" s="7" customFormat="1" x14ac:dyDescent="0.25">
      <c r="B15" s="5" t="s">
        <v>2</v>
      </c>
      <c r="C15" s="5"/>
      <c r="D15" s="6" t="s">
        <v>3</v>
      </c>
      <c r="E15" s="6"/>
      <c r="F15" s="6"/>
      <c r="G15" s="6"/>
      <c r="H15" s="6" t="s">
        <v>11</v>
      </c>
      <c r="I15" s="6"/>
      <c r="J15" s="6"/>
      <c r="L15" s="6" t="s">
        <v>12</v>
      </c>
    </row>
    <row r="16" spans="2:12" x14ac:dyDescent="0.25">
      <c r="B16" s="42" t="s">
        <v>67</v>
      </c>
      <c r="C16" s="43"/>
      <c r="D16" s="50" t="s">
        <v>1</v>
      </c>
      <c r="E16" s="50"/>
      <c r="F16" s="51"/>
      <c r="G16" s="3"/>
      <c r="H16" s="59" t="s">
        <v>15</v>
      </c>
      <c r="I16" s="60"/>
      <c r="J16" s="60"/>
      <c r="K16" s="60"/>
      <c r="L16" s="10" t="s">
        <v>16</v>
      </c>
    </row>
    <row r="17" spans="2:12" x14ac:dyDescent="0.25">
      <c r="B17" s="44" t="s">
        <v>68</v>
      </c>
      <c r="C17" s="45"/>
      <c r="D17" s="52" t="s">
        <v>4</v>
      </c>
      <c r="E17" s="52"/>
      <c r="F17" s="53"/>
      <c r="G17" s="2"/>
      <c r="H17" s="61" t="s">
        <v>13</v>
      </c>
      <c r="I17" s="62"/>
      <c r="J17" s="62"/>
      <c r="K17" s="62"/>
      <c r="L17" s="4" t="s">
        <v>14</v>
      </c>
    </row>
    <row r="18" spans="2:12" x14ac:dyDescent="0.25">
      <c r="B18" s="46" t="s">
        <v>69</v>
      </c>
      <c r="C18" s="47"/>
      <c r="D18" s="56" t="s">
        <v>5</v>
      </c>
      <c r="E18" s="56"/>
      <c r="F18" s="57"/>
      <c r="G18" s="2"/>
      <c r="H18" s="63" t="s">
        <v>17</v>
      </c>
      <c r="I18" s="64"/>
      <c r="J18" s="64"/>
      <c r="K18" s="64"/>
      <c r="L18" s="11" t="s">
        <v>18</v>
      </c>
    </row>
    <row r="19" spans="2:12" x14ac:dyDescent="0.25">
      <c r="B19" s="44" t="s">
        <v>70</v>
      </c>
      <c r="C19" s="45"/>
      <c r="D19" s="54" t="s">
        <v>6</v>
      </c>
      <c r="E19" s="54"/>
      <c r="F19" s="55"/>
      <c r="G19" s="2"/>
      <c r="H19" s="9"/>
      <c r="I19" s="8"/>
      <c r="J19" s="8"/>
      <c r="K19" s="8"/>
      <c r="L19" s="8"/>
    </row>
    <row r="20" spans="2:12" x14ac:dyDescent="0.25">
      <c r="B20" s="46" t="s">
        <v>71</v>
      </c>
      <c r="C20" s="47"/>
      <c r="D20" s="56" t="s">
        <v>7</v>
      </c>
      <c r="E20" s="56"/>
      <c r="F20" s="57"/>
      <c r="G20" s="2"/>
      <c r="H20" s="9" t="s">
        <v>60</v>
      </c>
      <c r="I20" s="8"/>
      <c r="J20" s="8"/>
      <c r="L20" s="8"/>
    </row>
    <row r="21" spans="2:12" x14ac:dyDescent="0.25">
      <c r="B21" s="44" t="s">
        <v>72</v>
      </c>
      <c r="C21" s="45"/>
      <c r="D21" s="54" t="s">
        <v>8</v>
      </c>
      <c r="E21" s="54"/>
      <c r="F21" s="55"/>
      <c r="G21" s="2"/>
      <c r="H21" s="9"/>
      <c r="I21" s="8"/>
      <c r="J21" s="8"/>
      <c r="K21" s="8"/>
      <c r="L21" s="8"/>
    </row>
    <row r="22" spans="2:12" x14ac:dyDescent="0.25">
      <c r="B22" s="48" t="s">
        <v>73</v>
      </c>
      <c r="C22" s="49"/>
      <c r="D22" s="40" t="s">
        <v>9</v>
      </c>
      <c r="E22" s="40"/>
      <c r="F22" s="41"/>
      <c r="G22" s="2"/>
      <c r="H22" s="9"/>
      <c r="I22" s="8"/>
      <c r="J22" s="8"/>
      <c r="K22" s="8"/>
      <c r="L22" s="8"/>
    </row>
    <row r="23" spans="2:12" x14ac:dyDescent="0.25">
      <c r="B23" s="2"/>
      <c r="C23" s="2"/>
      <c r="D23" s="2"/>
      <c r="E23" s="2"/>
      <c r="F23" s="2"/>
      <c r="G23" s="2"/>
      <c r="H23" s="2"/>
      <c r="I23" s="2"/>
      <c r="J23" s="2"/>
      <c r="K23" s="2"/>
      <c r="L23" s="2"/>
    </row>
    <row r="24" spans="2:12" x14ac:dyDescent="0.25">
      <c r="B24" t="s">
        <v>21</v>
      </c>
      <c r="D24" t="str">
        <f ca="1">_xll.DBRW("region06:calendar","Model Version","String")</f>
        <v>4.5</v>
      </c>
    </row>
  </sheetData>
  <mergeCells count="20">
    <mergeCell ref="F2:L2"/>
    <mergeCell ref="H16:K16"/>
    <mergeCell ref="H17:K17"/>
    <mergeCell ref="H18:K18"/>
    <mergeCell ref="D18:F18"/>
    <mergeCell ref="B10:L13"/>
    <mergeCell ref="C5:L9"/>
    <mergeCell ref="D22:F22"/>
    <mergeCell ref="B16:C16"/>
    <mergeCell ref="B17:C17"/>
    <mergeCell ref="B18:C18"/>
    <mergeCell ref="B19:C19"/>
    <mergeCell ref="B20:C20"/>
    <mergeCell ref="B21:C21"/>
    <mergeCell ref="B22:C22"/>
    <mergeCell ref="D16:F16"/>
    <mergeCell ref="D17:F17"/>
    <mergeCell ref="D21:F21"/>
    <mergeCell ref="D19:F19"/>
    <mergeCell ref="D20:F20"/>
  </mergeCells>
  <phoneticPr fontId="0" type="noConversion"/>
  <pageMargins left="0.7" right="0.7" top="0.75" bottom="0.75" header="0.3" footer="0.3"/>
  <pageSetup orientation="portrait" horizontalDpi="0" verticalDpi="0" r:id="rId1"/>
  <drawing r:id="rId2"/>
  <legacyDrawing r:id="rId3"/>
  <controls>
    <mc:AlternateContent xmlns:mc="http://schemas.openxmlformats.org/markup-compatibility/2006">
      <mc:Choice Requires="x14">
        <control shapeId="1025" r:id="rId4" name="TIButton1">
          <controlPr defaultSize="0" print="0" autoLine="0" r:id="rId5">
            <anchor moveWithCells="1">
              <from>
                <xdr:col>9</xdr:col>
                <xdr:colOff>171450</xdr:colOff>
                <xdr:row>18</xdr:row>
                <xdr:rowOff>180975</xdr:rowOff>
              </from>
              <to>
                <xdr:col>10</xdr:col>
                <xdr:colOff>266700</xdr:colOff>
                <xdr:row>21</xdr:row>
                <xdr:rowOff>104775</xdr:rowOff>
              </to>
            </anchor>
          </controlPr>
        </control>
      </mc:Choice>
      <mc:Fallback>
        <control shapeId="1025" r:id="rId4" name="TIButton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showGridLines="0" workbookViewId="0">
      <selection activeCell="D11" sqref="D11"/>
    </sheetView>
  </sheetViews>
  <sheetFormatPr defaultRowHeight="15" x14ac:dyDescent="0.25"/>
  <sheetData/>
  <phoneticPr fontId="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L23"/>
  <sheetViews>
    <sheetView showGridLines="0" topLeftCell="E3" zoomScaleNormal="100" workbookViewId="0">
      <selection activeCell="P16" sqref="P16"/>
    </sheetView>
  </sheetViews>
  <sheetFormatPr defaultRowHeight="15" outlineLevelRow="1" outlineLevelCol="1" x14ac:dyDescent="0.25"/>
  <cols>
    <col min="1" max="3" width="9.140625" hidden="1" customWidth="1" outlineLevel="1"/>
    <col min="4" max="4" width="11.140625" hidden="1" customWidth="1" outlineLevel="1"/>
    <col min="5" max="5" width="1.42578125" customWidth="1" collapsed="1"/>
    <col min="6" max="6" width="36.5703125" customWidth="1"/>
    <col min="7" max="7" width="10.5703125" customWidth="1"/>
    <col min="8" max="8" width="16" customWidth="1"/>
    <col min="9" max="10" width="11.7109375" customWidth="1"/>
    <col min="11" max="11" width="17.85546875" customWidth="1"/>
    <col min="12" max="12" width="10.5703125" customWidth="1"/>
  </cols>
  <sheetData>
    <row r="1" spans="1:12" hidden="1" outlineLevel="1" x14ac:dyDescent="0.25">
      <c r="E1" t="s">
        <v>22</v>
      </c>
      <c r="F1" t="str">
        <f ca="1">_xll.VIEW("region06:Task Workflow","!",$F$2,"!")</f>
        <v>region06:Task Workflow</v>
      </c>
    </row>
    <row r="2" spans="1:12" hidden="1" outlineLevel="1" x14ac:dyDescent="0.25">
      <c r="E2" s="13" t="s">
        <v>23</v>
      </c>
      <c r="F2" t="str">
        <f ca="1">_xll.SUBNM("region06:organization","","101","Caption_Default")</f>
        <v>Massachusetts</v>
      </c>
      <c r="G2" t="str">
        <f ca="1">_xll.DBRA("region06:year","y2","caption_default")</f>
        <v>2015</v>
      </c>
    </row>
    <row r="3" spans="1:12" ht="27" customHeight="1" collapsed="1" x14ac:dyDescent="0.25">
      <c r="E3" s="31"/>
      <c r="F3" s="21" t="str">
        <f ca="1">"FY"&amp;G2&amp;" Budget Application Instructions"</f>
        <v>FY2015 Budget Application Instructions</v>
      </c>
      <c r="G3" s="21"/>
      <c r="H3" s="21"/>
      <c r="I3" s="21"/>
      <c r="J3" s="21"/>
      <c r="K3" s="21"/>
      <c r="L3" s="21"/>
    </row>
    <row r="4" spans="1:12" s="17" customFormat="1" ht="5.25" customHeight="1" x14ac:dyDescent="0.25">
      <c r="F4" s="19"/>
      <c r="G4" s="22"/>
      <c r="H4" s="18"/>
      <c r="I4" s="18"/>
      <c r="J4" s="18"/>
      <c r="K4" s="18"/>
      <c r="L4" s="18"/>
    </row>
    <row r="5" spans="1:12" ht="20.25" customHeight="1" thickBot="1" x14ac:dyDescent="0.3">
      <c r="B5" t="s">
        <v>24</v>
      </c>
      <c r="C5" t="s">
        <v>25</v>
      </c>
      <c r="F5" s="30" t="s">
        <v>26</v>
      </c>
      <c r="G5" s="30" t="s">
        <v>63</v>
      </c>
      <c r="H5" s="30" t="s">
        <v>27</v>
      </c>
      <c r="I5" s="30" t="s">
        <v>28</v>
      </c>
      <c r="J5" s="30" t="s">
        <v>29</v>
      </c>
      <c r="K5" s="30"/>
      <c r="L5" s="30"/>
    </row>
    <row r="6" spans="1:12" ht="15.75" thickTop="1" x14ac:dyDescent="0.25">
      <c r="A6" t="s">
        <v>30</v>
      </c>
      <c r="B6" s="14">
        <f ca="1">_xll.DBRW($F$1,$F6,$F$2,B$5)</f>
        <v>0</v>
      </c>
      <c r="C6" s="14" t="str">
        <f ca="1">_xll.DBRW($F$1,$F6,$F$2,C$5)</f>
        <v/>
      </c>
      <c r="D6" s="14"/>
      <c r="F6" s="27" t="str">
        <f ca="1">_xll.DBRA("region06:task",A6,"caption_default")</f>
        <v>All Tasks</v>
      </c>
      <c r="G6" s="23"/>
      <c r="H6" s="26" t="str">
        <f ca="1">_xll.DBRW($F$1,$A6,$F$2,H$5)</f>
        <v>In Progress</v>
      </c>
      <c r="I6" s="32" t="str">
        <f ca="1">_xll.DBRW($F$1,$A6,$F$2,I$5)</f>
        <v/>
      </c>
      <c r="J6" s="67" t="str">
        <f ca="1">_xll.DBRW($F$1,$A6,$F$2,J$5)</f>
        <v/>
      </c>
      <c r="K6" s="67" t="str">
        <f ca="1">_xll.DBRW($F$1,$A6,$F$2,K$5)</f>
        <v/>
      </c>
      <c r="L6" s="67" t="str">
        <f ca="1">_xll.DBRW($F$1,$A6,$F$2,L$5)</f>
        <v/>
      </c>
    </row>
    <row r="7" spans="1:12" x14ac:dyDescent="0.25">
      <c r="A7" s="15" t="s">
        <v>31</v>
      </c>
      <c r="B7" s="14">
        <f ca="1">_xll.DBRW($F$1,$F7,$F$2,B$5)</f>
        <v>0</v>
      </c>
      <c r="C7" s="14" t="str">
        <f ca="1">_xll.DBRW($F$1,$F7,$F$2,C$5)</f>
        <v/>
      </c>
      <c r="D7" s="14"/>
      <c r="F7" s="28" t="str">
        <f ca="1">_xll.DBRA("region06:task",A7,"caption_default")</f>
        <v>Revenue</v>
      </c>
      <c r="G7" s="24"/>
      <c r="H7" s="26" t="str">
        <f ca="1">_xll.DBRW($F$1,$A7,$F$2,H$5)</f>
        <v>In Progress</v>
      </c>
      <c r="I7" s="32" t="str">
        <f ca="1">_xll.DBRW($F$1,$A7,$F$2,I$5)</f>
        <v/>
      </c>
      <c r="J7" s="67" t="str">
        <f ca="1">_xll.DBRW($F$1,$A7,$F$2,J$5)</f>
        <v/>
      </c>
      <c r="K7" s="67" t="str">
        <f ca="1">_xll.DBRW($F$1,$A7,$F$2,K$5)</f>
        <v/>
      </c>
      <c r="L7" s="67" t="str">
        <f ca="1">_xll.DBRW($F$1,$A7,$F$2,L$5)</f>
        <v/>
      </c>
    </row>
    <row r="8" spans="1:12" x14ac:dyDescent="0.25">
      <c r="A8" s="15" t="s">
        <v>32</v>
      </c>
      <c r="B8" s="14">
        <f ca="1">_xll.DBRW($F$1,$F8,$F$2,B$5)</f>
        <v>-1734</v>
      </c>
      <c r="C8" s="14" t="str">
        <f ca="1">_xll.DBRW($F$1,$F8,$F$2,C$5)</f>
        <v/>
      </c>
      <c r="D8" s="14"/>
      <c r="F8" s="29" t="str">
        <f ca="1">_xll.DBRA("region06:task",A8,"caption_default")</f>
        <v>Enter New Products</v>
      </c>
      <c r="G8" s="25"/>
      <c r="H8" s="26" t="str">
        <f ca="1">_xll.DBRW($F$1,$A8,$F$2,H$5)</f>
        <v>Complete</v>
      </c>
      <c r="I8" s="32" t="str">
        <f ca="1">_xll.DBRW($F$1,$A8,$F$2,I$5)</f>
        <v>2013-08-08</v>
      </c>
      <c r="J8" s="67" t="str">
        <f ca="1">_xll.DBRW($F$1,$A8,$F$2,J$5)</f>
        <v>Price increase in 4G product line to boost Margin</v>
      </c>
      <c r="K8" s="67" t="str">
        <f ca="1">_xll.DBRW($F$1,$A8,$F$2,K$5)</f>
        <v/>
      </c>
      <c r="L8" s="67" t="str">
        <f ca="1">_xll.DBRW($F$1,$A8,$F$2,L$5)</f>
        <v/>
      </c>
    </row>
    <row r="9" spans="1:12" x14ac:dyDescent="0.25">
      <c r="A9" s="15" t="s">
        <v>33</v>
      </c>
      <c r="B9" s="14">
        <f ca="1">_xll.DBRW($F$1,$F9,$F$2,B$5)</f>
        <v>-1734</v>
      </c>
      <c r="C9" s="14" t="str">
        <f ca="1">_xll.DBRW($F$1,$F9,$F$2,C$5)</f>
        <v>Overdue</v>
      </c>
      <c r="D9" s="14"/>
      <c r="F9" s="29" t="str">
        <f ca="1">_xll.DBRA("region06:task",A9,"caption_default")</f>
        <v>Plan Units Sold</v>
      </c>
      <c r="G9" s="25"/>
      <c r="H9" s="26" t="str">
        <f ca="1">_xll.DBRW($F$1,$A9,$F$2,H$5)</f>
        <v>Not Started</v>
      </c>
      <c r="I9" s="32" t="str">
        <f ca="1">_xll.DBRW($F$1,$A9,$F$2,I$5)</f>
        <v>2013-08-08</v>
      </c>
      <c r="J9" s="67" t="str">
        <f ca="1">_xll.DBRW($F$1,$A9,$F$2,J$5)</f>
        <v/>
      </c>
      <c r="K9" s="67" t="str">
        <f ca="1">_xll.DBRW($F$1,$A9,$F$2,K$5)</f>
        <v/>
      </c>
      <c r="L9" s="67" t="str">
        <f ca="1">_xll.DBRW($F$1,$A9,$F$2,L$5)</f>
        <v/>
      </c>
    </row>
    <row r="10" spans="1:12" x14ac:dyDescent="0.25">
      <c r="A10" s="15" t="s">
        <v>34</v>
      </c>
      <c r="B10" s="14">
        <f ca="1">_xll.DBRW($F$1,$F10,$F$2,B$5)</f>
        <v>0</v>
      </c>
      <c r="C10" s="14" t="str">
        <f ca="1">_xll.DBRW($F$1,$F10,$F$2,C$5)</f>
        <v/>
      </c>
      <c r="D10" s="14"/>
      <c r="F10" s="28" t="str">
        <f ca="1">_xll.DBRA("region06:task",A10,"caption_default")</f>
        <v>Headcount</v>
      </c>
      <c r="G10" s="24"/>
      <c r="H10" s="26" t="str">
        <f ca="1">_xll.DBRW($F$1,$A10,$F$2,H$5)</f>
        <v>Complete</v>
      </c>
      <c r="I10" s="32" t="str">
        <f ca="1">_xll.DBRW($F$1,$A10,$F$2,I$5)</f>
        <v/>
      </c>
      <c r="J10" s="67" t="str">
        <f ca="1">_xll.DBRW($F$1,$A10,$F$2,J$5)</f>
        <v/>
      </c>
      <c r="K10" s="67" t="str">
        <f ca="1">_xll.DBRW($F$1,$A10,$F$2,K$5)</f>
        <v/>
      </c>
      <c r="L10" s="67" t="str">
        <f ca="1">_xll.DBRW($F$1,$A10,$F$2,L$5)</f>
        <v/>
      </c>
    </row>
    <row r="11" spans="1:12" x14ac:dyDescent="0.25">
      <c r="A11" s="15" t="s">
        <v>35</v>
      </c>
      <c r="B11" s="14">
        <f ca="1">_xll.DBRW($F$1,$F11,$F$2,B$5)</f>
        <v>-1605</v>
      </c>
      <c r="C11" s="14" t="str">
        <f ca="1">_xll.DBRW($F$1,$F11,$F$2,C$5)</f>
        <v/>
      </c>
      <c r="D11" s="14"/>
      <c r="F11" s="29" t="str">
        <f ca="1">_xll.DBRA("region06:task",A11,"caption_default")</f>
        <v>Amend Existing / Add new Headcount</v>
      </c>
      <c r="G11" s="25"/>
      <c r="H11" s="26" t="str">
        <f ca="1">_xll.DBRW($F$1,$A11,$F$2,H$5)</f>
        <v>Complete</v>
      </c>
      <c r="I11" s="32" t="str">
        <f ca="1">_xll.DBRW($F$1,$A11,$F$2,I$5)</f>
        <v>2013-12-15</v>
      </c>
      <c r="J11" s="67" t="str">
        <f ca="1">_xll.DBRW($F$1,$A11,$F$2,J$5)</f>
        <v/>
      </c>
      <c r="K11" s="67" t="str">
        <f ca="1">_xll.DBRW($F$1,$A11,$F$2,K$5)</f>
        <v/>
      </c>
      <c r="L11" s="67" t="str">
        <f ca="1">_xll.DBRW($F$1,$A11,$F$2,L$5)</f>
        <v/>
      </c>
    </row>
    <row r="12" spans="1:12" x14ac:dyDescent="0.25">
      <c r="A12" s="15" t="s">
        <v>36</v>
      </c>
      <c r="B12" s="14">
        <f ca="1">_xll.DBRW($F$1,$F12,$F$2,B$5)</f>
        <v>-1605</v>
      </c>
      <c r="C12" s="14" t="str">
        <f ca="1">_xll.DBRW($F$1,$F12,$F$2,C$5)</f>
        <v/>
      </c>
      <c r="D12" s="14"/>
      <c r="F12" s="29" t="str">
        <f ca="1">_xll.DBRA("region06:task",A12,"caption_default")</f>
        <v>Review Total Compensation Spend</v>
      </c>
      <c r="G12" s="25"/>
      <c r="H12" s="26" t="str">
        <f ca="1">_xll.DBRW($F$1,$A12,$F$2,H$5)</f>
        <v>Complete</v>
      </c>
      <c r="I12" s="32" t="str">
        <f ca="1">_xll.DBRW($F$1,$A12,$F$2,I$5)</f>
        <v>2013-12-15</v>
      </c>
      <c r="J12" s="67" t="str">
        <f ca="1">_xll.DBRW($F$1,$A12,$F$2,J$5)</f>
        <v/>
      </c>
      <c r="K12" s="67" t="str">
        <f ca="1">_xll.DBRW($F$1,$A12,$F$2,K$5)</f>
        <v/>
      </c>
      <c r="L12" s="67" t="str">
        <f ca="1">_xll.DBRW($F$1,$A12,$F$2,L$5)</f>
        <v/>
      </c>
    </row>
    <row r="13" spans="1:12" x14ac:dyDescent="0.25">
      <c r="A13" s="15" t="s">
        <v>37</v>
      </c>
      <c r="B13" s="14">
        <f ca="1">_xll.DBRW($F$1,$F13,$F$2,B$5)</f>
        <v>0</v>
      </c>
      <c r="C13" s="14" t="str">
        <f ca="1">_xll.DBRW($F$1,$F13,$F$2,C$5)</f>
        <v/>
      </c>
      <c r="D13" s="14"/>
      <c r="F13" s="28" t="str">
        <f ca="1">_xll.DBRA("region06:task",A13,"caption_default")</f>
        <v>Capital</v>
      </c>
      <c r="G13" s="24"/>
      <c r="H13" s="26" t="str">
        <f ca="1">_xll.DBRW($F$1,$A13,$F$2,H$5)</f>
        <v>Not Started</v>
      </c>
      <c r="I13" s="32" t="str">
        <f ca="1">_xll.DBRW($F$1,$A13,$F$2,I$5)</f>
        <v/>
      </c>
      <c r="J13" s="67" t="str">
        <f ca="1">_xll.DBRW($F$1,$A13,$F$2,J$5)</f>
        <v/>
      </c>
      <c r="K13" s="67" t="str">
        <f ca="1">_xll.DBRW($F$1,$A13,$F$2,K$5)</f>
        <v/>
      </c>
      <c r="L13" s="67" t="str">
        <f ca="1">_xll.DBRW($F$1,$A13,$F$2,L$5)</f>
        <v/>
      </c>
    </row>
    <row r="14" spans="1:12" x14ac:dyDescent="0.25">
      <c r="A14" s="15" t="s">
        <v>38</v>
      </c>
      <c r="B14" s="14">
        <f ca="1">_xll.DBRW($F$1,$F14,$F$2,B$5)</f>
        <v>-1605</v>
      </c>
      <c r="C14" s="14" t="str">
        <f ca="1">_xll.DBRW($F$1,$F14,$F$2,C$5)</f>
        <v>Overdue</v>
      </c>
      <c r="D14" s="14"/>
      <c r="F14" s="29" t="str">
        <f ca="1">_xll.DBRA("region06:task",A14,"caption_default")</f>
        <v>Add New Capital Requests</v>
      </c>
      <c r="G14" s="25"/>
      <c r="H14" s="26" t="str">
        <f ca="1">_xll.DBRW($F$1,$A14,$F$2,H$5)</f>
        <v>Not Started</v>
      </c>
      <c r="I14" s="32" t="str">
        <f ca="1">_xll.DBRW($F$1,$A14,$F$2,I$5)</f>
        <v>2013-12-15</v>
      </c>
      <c r="J14" s="67" t="str">
        <f ca="1">_xll.DBRW($F$1,$A14,$F$2,J$5)</f>
        <v/>
      </c>
      <c r="K14" s="67" t="str">
        <f ca="1">_xll.DBRW($F$1,$A14,$F$2,K$5)</f>
        <v/>
      </c>
      <c r="L14" s="67" t="str">
        <f ca="1">_xll.DBRW($F$1,$A14,$F$2,L$5)</f>
        <v/>
      </c>
    </row>
    <row r="15" spans="1:12" x14ac:dyDescent="0.25">
      <c r="A15" s="15" t="s">
        <v>39</v>
      </c>
      <c r="B15" s="14">
        <f ca="1">_xll.DBRW($F$1,$F15,$F$2,B$5)</f>
        <v>-1605</v>
      </c>
      <c r="C15" s="14" t="str">
        <f ca="1">_xll.DBRW($F$1,$F15,$F$2,C$5)</f>
        <v>Overdue</v>
      </c>
      <c r="D15" s="14"/>
      <c r="F15" s="29" t="str">
        <f ca="1">_xll.DBRA("region06:task",A15,"caption_default")</f>
        <v>Review IS and BS Impact</v>
      </c>
      <c r="G15" s="25"/>
      <c r="H15" s="26" t="str">
        <f ca="1">_xll.DBRW($F$1,$A15,$F$2,H$5)</f>
        <v>Not Started</v>
      </c>
      <c r="I15" s="32" t="str">
        <f ca="1">_xll.DBRW($F$1,$A15,$F$2,I$5)</f>
        <v>2013-12-15</v>
      </c>
      <c r="J15" s="67" t="str">
        <f ca="1">_xll.DBRW($F$1,$A15,$F$2,J$5)</f>
        <v/>
      </c>
      <c r="K15" s="67" t="str">
        <f ca="1">_xll.DBRW($F$1,$A15,$F$2,K$5)</f>
        <v/>
      </c>
      <c r="L15" s="67" t="str">
        <f ca="1">_xll.DBRW($F$1,$A15,$F$2,L$5)</f>
        <v/>
      </c>
    </row>
    <row r="16" spans="1:12" x14ac:dyDescent="0.25">
      <c r="A16" s="15" t="s">
        <v>40</v>
      </c>
      <c r="B16" s="14">
        <f ca="1">_xll.DBRW($F$1,$F16,$F$2,B$5)</f>
        <v>0</v>
      </c>
      <c r="C16" s="14" t="str">
        <f ca="1">_xll.DBRW($F$1,$F16,$F$2,C$5)</f>
        <v/>
      </c>
      <c r="D16" s="14"/>
      <c r="F16" s="28" t="str">
        <f ca="1">_xll.DBRA("region06:task",A16,"caption_default")</f>
        <v>OPEX</v>
      </c>
      <c r="G16" s="24"/>
      <c r="H16" s="26" t="str">
        <f ca="1">_xll.DBRW($F$1,$A16,$F$2,H$5)</f>
        <v>Complete</v>
      </c>
      <c r="I16" s="32" t="str">
        <f ca="1">_xll.DBRW($F$1,$A16,$F$2,I$5)</f>
        <v/>
      </c>
      <c r="J16" s="67" t="str">
        <f ca="1">_xll.DBRW($F$1,$A16,$F$2,J$5)</f>
        <v/>
      </c>
      <c r="K16" s="67" t="str">
        <f ca="1">_xll.DBRW($F$1,$A16,$F$2,K$5)</f>
        <v/>
      </c>
      <c r="L16" s="67" t="str">
        <f ca="1">_xll.DBRW($F$1,$A16,$F$2,L$5)</f>
        <v/>
      </c>
    </row>
    <row r="17" spans="1:12" x14ac:dyDescent="0.25">
      <c r="A17" s="15" t="s">
        <v>41</v>
      </c>
      <c r="B17" s="14">
        <f ca="1">_xll.DBRW($F$1,$F17,$F$2,B$5)</f>
        <v>-1605</v>
      </c>
      <c r="C17" s="14" t="str">
        <f ca="1">_xll.DBRW($F$1,$F17,$F$2,C$5)</f>
        <v/>
      </c>
      <c r="D17" s="14"/>
      <c r="F17" s="29" t="str">
        <f ca="1">_xll.DBRA("region06:task",A17,"caption_default")</f>
        <v>Plan Marketing expense</v>
      </c>
      <c r="G17" s="25"/>
      <c r="H17" s="26" t="str">
        <f ca="1">_xll.DBRW($F$1,$A17,$F$2,H$5)</f>
        <v>Complete</v>
      </c>
      <c r="I17" s="32" t="str">
        <f ca="1">_xll.DBRW($F$1,$A17,$F$2,I$5)</f>
        <v>2013-12-15</v>
      </c>
      <c r="J17" s="67" t="str">
        <f ca="1">_xll.DBRW($F$1,$A17,$F$2,J$5)</f>
        <v/>
      </c>
      <c r="K17" s="67" t="str">
        <f ca="1">_xll.DBRW($F$1,$A17,$F$2,K$5)</f>
        <v/>
      </c>
      <c r="L17" s="67" t="str">
        <f ca="1">_xll.DBRW($F$1,$A17,$F$2,L$5)</f>
        <v/>
      </c>
    </row>
    <row r="18" spans="1:12" x14ac:dyDescent="0.25">
      <c r="A18" s="15" t="s">
        <v>42</v>
      </c>
      <c r="B18" s="14">
        <f ca="1">_xll.DBRW($F$1,$F18,$F$2,B$5)</f>
        <v>-1605</v>
      </c>
      <c r="C18" s="14" t="str">
        <f ca="1">_xll.DBRW($F$1,$F18,$F$2,C$5)</f>
        <v/>
      </c>
      <c r="D18" s="14"/>
      <c r="F18" s="29" t="str">
        <f ca="1">_xll.DBRA("region06:task",A18,"caption_default")</f>
        <v>Plan Phased costs</v>
      </c>
      <c r="G18" s="25"/>
      <c r="H18" s="26" t="str">
        <f ca="1">_xll.DBRW($F$1,$A18,$F$2,H$5)</f>
        <v>Complete</v>
      </c>
      <c r="I18" s="32" t="str">
        <f ca="1">_xll.DBRW($F$1,$A18,$F$2,I$5)</f>
        <v>2013-12-15</v>
      </c>
      <c r="J18" s="67" t="str">
        <f ca="1">_xll.DBRW($F$1,$A18,$F$2,J$5)</f>
        <v/>
      </c>
      <c r="K18" s="67" t="str">
        <f ca="1">_xll.DBRW($F$1,$A18,$F$2,K$5)</f>
        <v/>
      </c>
      <c r="L18" s="67" t="str">
        <f ca="1">_xll.DBRW($F$1,$A18,$F$2,L$5)</f>
        <v/>
      </c>
    </row>
    <row r="19" spans="1:12" x14ac:dyDescent="0.25">
      <c r="A19" s="15" t="s">
        <v>43</v>
      </c>
      <c r="B19" s="14">
        <f ca="1">_xll.DBRW($F$1,$F19,$F$2,B$5)</f>
        <v>0</v>
      </c>
      <c r="C19" s="14" t="str">
        <f ca="1">_xll.DBRW($F$1,$F19,$F$2,C$5)</f>
        <v/>
      </c>
      <c r="D19" s="14"/>
      <c r="F19" s="28" t="str">
        <f ca="1">_xll.DBRA("region06:task",A19,"caption_default")</f>
        <v>Income Statement</v>
      </c>
      <c r="G19" s="24"/>
      <c r="H19" s="26" t="str">
        <f ca="1">_xll.DBRW($F$1,$A19,$F$2,H$5)</f>
        <v>In Progress</v>
      </c>
      <c r="I19" s="32" t="str">
        <f ca="1">_xll.DBRW($F$1,$A19,$F$2,I$5)</f>
        <v/>
      </c>
      <c r="J19" s="68" t="str">
        <f ca="1">_xll.DBRW($F$1,$A19,$F$2,J$5)</f>
        <v/>
      </c>
      <c r="K19" s="68" t="str">
        <f ca="1">_xll.DBRW($F$1,$A19,$F$2,K$5)</f>
        <v/>
      </c>
      <c r="L19" s="68" t="str">
        <f ca="1">_xll.DBRW($F$1,$A19,$F$2,L$5)</f>
        <v/>
      </c>
    </row>
    <row r="20" spans="1:12" x14ac:dyDescent="0.25">
      <c r="A20" s="15" t="s">
        <v>44</v>
      </c>
      <c r="B20" s="14">
        <f ca="1">_xll.DBRW($F$1,$F20,$F$2,B$5)</f>
        <v>-1605</v>
      </c>
      <c r="C20" s="14" t="str">
        <f ca="1">_xll.DBRW($F$1,$F20,$F$2,C$5)</f>
        <v/>
      </c>
      <c r="D20" s="14"/>
      <c r="F20" s="29" t="str">
        <f ca="1">_xll.DBRA("region06:task",A20,"caption_default")</f>
        <v>Review Allocations</v>
      </c>
      <c r="G20" s="25"/>
      <c r="H20" s="26" t="str">
        <f ca="1">_xll.DBRW($F$1,$A20,$F$2,H$5)</f>
        <v>Complete</v>
      </c>
      <c r="I20" s="32" t="str">
        <f ca="1">_xll.DBRW($F$1,$A20,$F$2,I$5)</f>
        <v>2013-12-15</v>
      </c>
      <c r="J20" s="67" t="str">
        <f ca="1">_xll.DBRW($F$1,$A20,$F$2,J$5)</f>
        <v/>
      </c>
      <c r="K20" s="67" t="str">
        <f ca="1">_xll.DBRW($F$1,$A20,$F$2,K$5)</f>
        <v/>
      </c>
      <c r="L20" s="67" t="str">
        <f ca="1">_xll.DBRW($F$1,$A20,$F$2,L$5)</f>
        <v/>
      </c>
    </row>
    <row r="21" spans="1:12" x14ac:dyDescent="0.25">
      <c r="A21" s="15" t="s">
        <v>45</v>
      </c>
      <c r="B21" s="14">
        <f ca="1">_xll.DBRW($F$1,$F21,$F$2,B$5)</f>
        <v>-1605</v>
      </c>
      <c r="C21" s="14" t="str">
        <f ca="1">_xll.DBRW($F$1,$F21,$F$2,C$5)</f>
        <v>Overdue</v>
      </c>
      <c r="D21" s="14"/>
      <c r="F21" s="29" t="str">
        <f ca="1">_xll.DBRA("region06:task",A21,"caption_default")</f>
        <v>Update Forecast</v>
      </c>
      <c r="G21" s="25"/>
      <c r="H21" s="26" t="str">
        <f ca="1">_xll.DBRW($F$1,$A21,$F$2,H$5)</f>
        <v>Not Started</v>
      </c>
      <c r="I21" s="32" t="str">
        <f ca="1">_xll.DBRW($F$1,$A21,$F$2,I$5)</f>
        <v>2013-12-15</v>
      </c>
      <c r="J21" s="67" t="str">
        <f ca="1">_xll.DBRW($F$1,$A21,$F$2,J$5)</f>
        <v/>
      </c>
      <c r="K21" s="67" t="str">
        <f ca="1">_xll.DBRW($F$1,$A21,$F$2,K$5)</f>
        <v/>
      </c>
      <c r="L21" s="67" t="str">
        <f ca="1">_xll.DBRW($F$1,$A21,$F$2,L$5)</f>
        <v/>
      </c>
    </row>
    <row r="22" spans="1:12" x14ac:dyDescent="0.25">
      <c r="A22" s="15" t="s">
        <v>46</v>
      </c>
      <c r="B22" s="14">
        <f ca="1">_xll.DBRW($F$1,$F22,$F$2,B$5)</f>
        <v>-1605</v>
      </c>
      <c r="C22" s="14" t="str">
        <f ca="1">_xll.DBRW($F$1,$F22,$F$2,C$5)</f>
        <v>Overdue</v>
      </c>
      <c r="D22" s="14"/>
      <c r="F22" s="29" t="str">
        <f ca="1">_xll.DBRA("region06:task",A22,"caption_default")</f>
        <v>Review Exchange Differences</v>
      </c>
      <c r="G22" s="25"/>
      <c r="H22" s="26" t="str">
        <f ca="1">_xll.DBRW($F$1,$A22,$F$2,H$5)</f>
        <v>Not Started</v>
      </c>
      <c r="I22" s="32" t="str">
        <f ca="1">_xll.DBRW($F$1,$A22,$F$2,I$5)</f>
        <v>2013-12-15</v>
      </c>
      <c r="J22" s="67" t="str">
        <f ca="1">_xll.DBRW($F$1,$A22,$F$2,J$5)</f>
        <v/>
      </c>
      <c r="K22" s="67" t="str">
        <f ca="1">_xll.DBRW($F$1,$A22,$F$2,K$5)</f>
        <v/>
      </c>
      <c r="L22" s="67" t="str">
        <f ca="1">_xll.DBRW($F$1,$A22,$F$2,L$5)</f>
        <v/>
      </c>
    </row>
    <row r="23" spans="1:12" x14ac:dyDescent="0.25">
      <c r="A23" s="15" t="s">
        <v>47</v>
      </c>
      <c r="B23" s="14">
        <f ca="1">_xll.DBRW($F$1,$F23,$F$2,B$5)</f>
        <v>-1605</v>
      </c>
      <c r="C23" s="14" t="str">
        <f ca="1">_xll.DBRW($F$1,$F23,$F$2,C$5)</f>
        <v/>
      </c>
      <c r="D23" s="14"/>
      <c r="F23" s="29" t="str">
        <f ca="1">_xll.DBRA("region06:task",A23,"caption_default")</f>
        <v>Review Final P&amp;L</v>
      </c>
      <c r="G23" s="25"/>
      <c r="H23" s="26" t="str">
        <f ca="1">_xll.DBRW($F$1,$A23,$F$2,H$5)</f>
        <v>Complete</v>
      </c>
      <c r="I23" s="32" t="str">
        <f ca="1">_xll.DBRW($F$1,$A23,$F$2,I$5)</f>
        <v>2013-12-15</v>
      </c>
      <c r="J23" s="67" t="str">
        <f ca="1">_xll.DBRW($F$1,$A23,$F$2,J$5)</f>
        <v/>
      </c>
      <c r="K23" s="67" t="str">
        <f ca="1">_xll.DBRW($F$1,$A23,$F$2,K$5)</f>
        <v/>
      </c>
      <c r="L23" s="67" t="str">
        <f ca="1">_xll.DBRW($F$1,$A23,$F$2,L$5)</f>
        <v/>
      </c>
    </row>
  </sheetData>
  <mergeCells count="18">
    <mergeCell ref="J21:L21"/>
    <mergeCell ref="J22:L22"/>
    <mergeCell ref="J23:L23"/>
    <mergeCell ref="J15:L15"/>
    <mergeCell ref="J16:L16"/>
    <mergeCell ref="J17:L17"/>
    <mergeCell ref="J18:L18"/>
    <mergeCell ref="J19:L19"/>
    <mergeCell ref="J20:L20"/>
    <mergeCell ref="J14:L14"/>
    <mergeCell ref="J6:L6"/>
    <mergeCell ref="J7:L7"/>
    <mergeCell ref="J8:L8"/>
    <mergeCell ref="J9:L9"/>
    <mergeCell ref="J10:L10"/>
    <mergeCell ref="J11:L11"/>
    <mergeCell ref="J12:L12"/>
    <mergeCell ref="J13:L13"/>
  </mergeCells>
  <conditionalFormatting sqref="I6:I23">
    <cfRule type="expression" dxfId="8" priority="2">
      <formula>$C6="overdue"</formula>
    </cfRule>
  </conditionalFormatting>
  <conditionalFormatting sqref="H6:H23">
    <cfRule type="expression" dxfId="7" priority="6">
      <formula>H6="Not Started"</formula>
    </cfRule>
    <cfRule type="expression" dxfId="6" priority="7">
      <formula>H6="Complete"</formula>
    </cfRule>
    <cfRule type="expression" dxfId="5" priority="8">
      <formula>H6="In Progress"</formula>
    </cfRule>
  </conditionalFormatting>
  <pageMargins left="0.7" right="0.7" top="0.75" bottom="0.75" header="0.3" footer="0.3"/>
  <pageSetup paperSize="9" orientation="portrait" r:id="rId1"/>
  <drawing r:id="rId2"/>
  <legacyDrawing r:id="rId3"/>
  <controls>
    <mc:AlternateContent xmlns:mc="http://schemas.openxmlformats.org/markup-compatibility/2006">
      <mc:Choice Requires="x14">
        <control shapeId="3073" r:id="rId4" name="TIButton1">
          <controlPr defaultSize="0" print="0" autoLine="0" autoPict="0" r:id="rId5">
            <anchor moveWithCells="1">
              <from>
                <xdr:col>6</xdr:col>
                <xdr:colOff>28575</xdr:colOff>
                <xdr:row>6</xdr:row>
                <xdr:rowOff>171450</xdr:rowOff>
              </from>
              <to>
                <xdr:col>6</xdr:col>
                <xdr:colOff>657225</xdr:colOff>
                <xdr:row>8</xdr:row>
                <xdr:rowOff>38100</xdr:rowOff>
              </to>
            </anchor>
          </controlPr>
        </control>
      </mc:Choice>
      <mc:Fallback>
        <control shapeId="3073" r:id="rId4" name="TIButton1"/>
      </mc:Fallback>
    </mc:AlternateContent>
    <mc:AlternateContent xmlns:mc="http://schemas.openxmlformats.org/markup-compatibility/2006">
      <mc:Choice Requires="x14">
        <control shapeId="3075" r:id="rId6" name="TIButton3">
          <controlPr defaultSize="0" print="0" autoLine="0" autoPict="0" r:id="rId7">
            <anchor moveWithCells="1">
              <from>
                <xdr:col>6</xdr:col>
                <xdr:colOff>38100</xdr:colOff>
                <xdr:row>13</xdr:row>
                <xdr:rowOff>0</xdr:rowOff>
              </from>
              <to>
                <xdr:col>6</xdr:col>
                <xdr:colOff>666750</xdr:colOff>
                <xdr:row>14</xdr:row>
                <xdr:rowOff>57150</xdr:rowOff>
              </to>
            </anchor>
          </controlPr>
        </control>
      </mc:Choice>
      <mc:Fallback>
        <control shapeId="3075" r:id="rId6" name="TIButton3"/>
      </mc:Fallback>
    </mc:AlternateContent>
    <mc:AlternateContent xmlns:mc="http://schemas.openxmlformats.org/markup-compatibility/2006">
      <mc:Choice Requires="x14">
        <control shapeId="3076" r:id="rId8" name="TIButton4">
          <controlPr defaultSize="0" print="0" autoLine="0" autoPict="0" r:id="rId9">
            <anchor moveWithCells="1">
              <from>
                <xdr:col>6</xdr:col>
                <xdr:colOff>38100</xdr:colOff>
                <xdr:row>15</xdr:row>
                <xdr:rowOff>180975</xdr:rowOff>
              </from>
              <to>
                <xdr:col>6</xdr:col>
                <xdr:colOff>666750</xdr:colOff>
                <xdr:row>17</xdr:row>
                <xdr:rowOff>47625</xdr:rowOff>
              </to>
            </anchor>
          </controlPr>
        </control>
      </mc:Choice>
      <mc:Fallback>
        <control shapeId="3076" r:id="rId8" name="TIButton4"/>
      </mc:Fallback>
    </mc:AlternateContent>
    <mc:AlternateContent xmlns:mc="http://schemas.openxmlformats.org/markup-compatibility/2006">
      <mc:Choice Requires="x14">
        <control shapeId="3077" r:id="rId10" name="TIButton5">
          <controlPr defaultSize="0" print="0" autoLine="0" autoPict="0" r:id="rId11">
            <anchor moveWithCells="1">
              <from>
                <xdr:col>6</xdr:col>
                <xdr:colOff>38100</xdr:colOff>
                <xdr:row>18</xdr:row>
                <xdr:rowOff>152400</xdr:rowOff>
              </from>
              <to>
                <xdr:col>6</xdr:col>
                <xdr:colOff>666750</xdr:colOff>
                <xdr:row>20</xdr:row>
                <xdr:rowOff>19050</xdr:rowOff>
              </to>
            </anchor>
          </controlPr>
        </control>
      </mc:Choice>
      <mc:Fallback>
        <control shapeId="3077" r:id="rId10" name="TIButton5"/>
      </mc:Fallback>
    </mc:AlternateContent>
    <mc:AlternateContent xmlns:mc="http://schemas.openxmlformats.org/markup-compatibility/2006">
      <mc:Choice Requires="x14">
        <control shapeId="3078" r:id="rId12" name="TIButton6">
          <controlPr defaultSize="0" print="0" autoLine="0" autoPict="0" r:id="rId13">
            <anchor moveWithCells="1">
              <from>
                <xdr:col>6</xdr:col>
                <xdr:colOff>85725</xdr:colOff>
                <xdr:row>8</xdr:row>
                <xdr:rowOff>9525</xdr:rowOff>
              </from>
              <to>
                <xdr:col>6</xdr:col>
                <xdr:colOff>581025</xdr:colOff>
                <xdr:row>9</xdr:row>
                <xdr:rowOff>9525</xdr:rowOff>
              </to>
            </anchor>
          </controlPr>
        </control>
      </mc:Choice>
      <mc:Fallback>
        <control shapeId="3078" r:id="rId12" name="TIButton6"/>
      </mc:Fallback>
    </mc:AlternateContent>
    <mc:AlternateContent xmlns:mc="http://schemas.openxmlformats.org/markup-compatibility/2006">
      <mc:Choice Requires="x14">
        <control shapeId="3080" r:id="rId14" name="TIButton8">
          <controlPr defaultSize="0" print="0" autoLine="0" autoPict="0" r:id="rId15">
            <anchor moveWithCells="1">
              <from>
                <xdr:col>6</xdr:col>
                <xdr:colOff>47625</xdr:colOff>
                <xdr:row>10</xdr:row>
                <xdr:rowOff>9525</xdr:rowOff>
              </from>
              <to>
                <xdr:col>6</xdr:col>
                <xdr:colOff>676275</xdr:colOff>
                <xdr:row>11</xdr:row>
                <xdr:rowOff>66675</xdr:rowOff>
              </to>
            </anchor>
          </controlPr>
        </control>
      </mc:Choice>
      <mc:Fallback>
        <control shapeId="3080" r:id="rId14" name="TIButton8"/>
      </mc:Fallback>
    </mc:AlternateContent>
    <mc:AlternateContent xmlns:mc="http://schemas.openxmlformats.org/markup-compatibility/2006">
      <mc:Choice Requires="x14">
        <control shapeId="3081" r:id="rId16" name="TIButton9">
          <controlPr defaultSize="0" print="0" autoLine="0" autoPict="0" r:id="rId17">
            <anchor moveWithCells="1">
              <from>
                <xdr:col>6</xdr:col>
                <xdr:colOff>47625</xdr:colOff>
                <xdr:row>10</xdr:row>
                <xdr:rowOff>180975</xdr:rowOff>
              </from>
              <to>
                <xdr:col>6</xdr:col>
                <xdr:colOff>676275</xdr:colOff>
                <xdr:row>12</xdr:row>
                <xdr:rowOff>47625</xdr:rowOff>
              </to>
            </anchor>
          </controlPr>
        </control>
      </mc:Choice>
      <mc:Fallback>
        <control shapeId="3081" r:id="rId16" name="TIButton9"/>
      </mc:Fallback>
    </mc:AlternateContent>
    <mc:AlternateContent xmlns:mc="http://schemas.openxmlformats.org/markup-compatibility/2006">
      <mc:Choice Requires="x14">
        <control shapeId="3082" r:id="rId18" name="TIButton10">
          <controlPr defaultSize="0" print="0" autoLine="0" autoPict="0" r:id="rId19">
            <anchor moveWithCells="1">
              <from>
                <xdr:col>6</xdr:col>
                <xdr:colOff>38100</xdr:colOff>
                <xdr:row>13</xdr:row>
                <xdr:rowOff>171450</xdr:rowOff>
              </from>
              <to>
                <xdr:col>6</xdr:col>
                <xdr:colOff>666750</xdr:colOff>
                <xdr:row>15</xdr:row>
                <xdr:rowOff>38100</xdr:rowOff>
              </to>
            </anchor>
          </controlPr>
        </control>
      </mc:Choice>
      <mc:Fallback>
        <control shapeId="3082" r:id="rId18" name="TIButton10"/>
      </mc:Fallback>
    </mc:AlternateContent>
    <mc:AlternateContent xmlns:mc="http://schemas.openxmlformats.org/markup-compatibility/2006">
      <mc:Choice Requires="x14">
        <control shapeId="3083" r:id="rId20" name="TIButton11">
          <controlPr defaultSize="0" print="0" autoLine="0" autoPict="0" r:id="rId21">
            <anchor moveWithCells="1">
              <from>
                <xdr:col>6</xdr:col>
                <xdr:colOff>38100</xdr:colOff>
                <xdr:row>16</xdr:row>
                <xdr:rowOff>161925</xdr:rowOff>
              </from>
              <to>
                <xdr:col>6</xdr:col>
                <xdr:colOff>666750</xdr:colOff>
                <xdr:row>18</xdr:row>
                <xdr:rowOff>28575</xdr:rowOff>
              </to>
            </anchor>
          </controlPr>
        </control>
      </mc:Choice>
      <mc:Fallback>
        <control shapeId="3083" r:id="rId20" name="TIButton11"/>
      </mc:Fallback>
    </mc:AlternateContent>
    <mc:AlternateContent xmlns:mc="http://schemas.openxmlformats.org/markup-compatibility/2006">
      <mc:Choice Requires="x14">
        <control shapeId="3084" r:id="rId22" name="TIButton12">
          <controlPr defaultSize="0" print="0" autoLine="0" autoPict="0" r:id="rId23">
            <anchor moveWithCells="1">
              <from>
                <xdr:col>6</xdr:col>
                <xdr:colOff>38100</xdr:colOff>
                <xdr:row>19</xdr:row>
                <xdr:rowOff>171450</xdr:rowOff>
              </from>
              <to>
                <xdr:col>6</xdr:col>
                <xdr:colOff>666750</xdr:colOff>
                <xdr:row>21</xdr:row>
                <xdr:rowOff>38100</xdr:rowOff>
              </to>
            </anchor>
          </controlPr>
        </control>
      </mc:Choice>
      <mc:Fallback>
        <control shapeId="3084" r:id="rId22" name="TIButton12"/>
      </mc:Fallback>
    </mc:AlternateContent>
    <mc:AlternateContent xmlns:mc="http://schemas.openxmlformats.org/markup-compatibility/2006">
      <mc:Choice Requires="x14">
        <control shapeId="3085" r:id="rId24" name="TIButton13">
          <controlPr defaultSize="0" print="0" autoLine="0" autoPict="0" r:id="rId25">
            <anchor moveWithCells="1">
              <from>
                <xdr:col>6</xdr:col>
                <xdr:colOff>38100</xdr:colOff>
                <xdr:row>20</xdr:row>
                <xdr:rowOff>142875</xdr:rowOff>
              </from>
              <to>
                <xdr:col>6</xdr:col>
                <xdr:colOff>666750</xdr:colOff>
                <xdr:row>22</xdr:row>
                <xdr:rowOff>9525</xdr:rowOff>
              </to>
            </anchor>
          </controlPr>
        </control>
      </mc:Choice>
      <mc:Fallback>
        <control shapeId="3085" r:id="rId24" name="TIButton13"/>
      </mc:Fallback>
    </mc:AlternateContent>
    <mc:AlternateContent xmlns:mc="http://schemas.openxmlformats.org/markup-compatibility/2006">
      <mc:Choice Requires="x14">
        <control shapeId="3086" r:id="rId26" name="TIButton14">
          <controlPr defaultSize="0" print="0" autoLine="0" autoPict="0" r:id="rId27">
            <anchor moveWithCells="1">
              <from>
                <xdr:col>6</xdr:col>
                <xdr:colOff>47625</xdr:colOff>
                <xdr:row>21</xdr:row>
                <xdr:rowOff>133350</xdr:rowOff>
              </from>
              <to>
                <xdr:col>6</xdr:col>
                <xdr:colOff>676275</xdr:colOff>
                <xdr:row>23</xdr:row>
                <xdr:rowOff>0</xdr:rowOff>
              </to>
            </anchor>
          </controlPr>
        </control>
      </mc:Choice>
      <mc:Fallback>
        <control shapeId="3086" r:id="rId26" name="TIButton14"/>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4"/>
  <sheetViews>
    <sheetView showGridLines="0" topLeftCell="A3" workbookViewId="0">
      <selection activeCell="B28" sqref="B28"/>
    </sheetView>
  </sheetViews>
  <sheetFormatPr defaultRowHeight="15" outlineLevelRow="1" x14ac:dyDescent="0.25"/>
  <cols>
    <col min="1" max="1" width="1.42578125" customWidth="1"/>
    <col min="7" max="7" width="5.140625" customWidth="1"/>
    <col min="8" max="8" width="18.85546875" customWidth="1"/>
    <col min="9" max="10" width="10.7109375" customWidth="1"/>
    <col min="11" max="11" width="16.28515625" customWidth="1"/>
    <col min="12" max="12" width="0" hidden="1" customWidth="1"/>
  </cols>
  <sheetData>
    <row r="1" spans="1:12" hidden="1" x14ac:dyDescent="0.25"/>
    <row r="2" spans="1:12" hidden="1" x14ac:dyDescent="0.25"/>
    <row r="3" spans="1:12" ht="26.25" customHeight="1" collapsed="1" x14ac:dyDescent="0.25">
      <c r="A3" s="21"/>
      <c r="B3" s="21" t="str">
        <f>"FY"&amp;G2&amp;" Plan Progress"</f>
        <v>FY Plan Progress</v>
      </c>
      <c r="C3" s="21"/>
      <c r="D3" s="21"/>
      <c r="E3" s="21"/>
      <c r="F3" s="21"/>
      <c r="G3" s="21"/>
      <c r="H3" s="21"/>
      <c r="I3" s="21"/>
      <c r="J3" s="21"/>
      <c r="K3" s="21"/>
    </row>
    <row r="4" spans="1:12" s="17" customFormat="1" ht="6.75" customHeight="1" x14ac:dyDescent="0.25">
      <c r="A4" s="18"/>
      <c r="B4" s="19"/>
      <c r="C4" s="20"/>
      <c r="D4" s="20"/>
      <c r="E4" s="20"/>
      <c r="F4" s="20"/>
      <c r="G4" s="18"/>
      <c r="H4" s="18"/>
      <c r="I4" s="18"/>
    </row>
    <row r="5" spans="1:12" s="17" customFormat="1" ht="17.25" customHeight="1" x14ac:dyDescent="0.25">
      <c r="A5" s="18"/>
      <c r="B5" s="69" t="s">
        <v>64</v>
      </c>
      <c r="C5" s="70"/>
      <c r="D5" s="70"/>
      <c r="E5" s="70"/>
      <c r="F5" s="20"/>
      <c r="G5" s="18"/>
      <c r="H5" s="69" t="s">
        <v>65</v>
      </c>
      <c r="I5" s="70"/>
      <c r="J5" s="70"/>
      <c r="K5" s="70"/>
    </row>
    <row r="6" spans="1:12" ht="16.5" customHeight="1" x14ac:dyDescent="0.25">
      <c r="B6" s="2"/>
      <c r="C6" s="2"/>
      <c r="E6" s="2"/>
    </row>
    <row r="7" spans="1:12" ht="12" hidden="1" customHeight="1" outlineLevel="1" x14ac:dyDescent="0.25">
      <c r="B7" t="str">
        <f ca="1">_xll.VIEW("region06:Task Workflow","!",$B$8,"!")</f>
        <v>region06:Task Workflow</v>
      </c>
      <c r="F7" s="14"/>
      <c r="G7" s="14"/>
      <c r="H7" s="14"/>
      <c r="I7" s="14" t="s">
        <v>75</v>
      </c>
      <c r="J7" s="14" t="s">
        <v>75</v>
      </c>
      <c r="K7" s="14" t="s">
        <v>75</v>
      </c>
    </row>
    <row r="8" spans="1:12" ht="12" hidden="1" customHeight="1" outlineLevel="1" x14ac:dyDescent="0.25">
      <c r="B8" t="str">
        <f ca="1">_xll.SUBNM("region06:organization","","101","Caption_Default")</f>
        <v>Massachusetts</v>
      </c>
      <c r="F8" s="14"/>
      <c r="G8" s="14"/>
      <c r="H8" s="14"/>
      <c r="I8" s="14" t="s">
        <v>48</v>
      </c>
      <c r="J8" s="14" t="s">
        <v>48</v>
      </c>
      <c r="K8" s="14" t="s">
        <v>48</v>
      </c>
    </row>
    <row r="9" spans="1:12" ht="12" hidden="1" customHeight="1" outlineLevel="1" x14ac:dyDescent="0.25">
      <c r="F9" s="14"/>
      <c r="G9" s="14"/>
      <c r="H9" s="14"/>
      <c r="I9" s="14" t="s">
        <v>49</v>
      </c>
      <c r="J9" s="14" t="s">
        <v>49</v>
      </c>
      <c r="K9" s="14" t="s">
        <v>49</v>
      </c>
    </row>
    <row r="10" spans="1:12" ht="12" hidden="1" customHeight="1" outlineLevel="1" x14ac:dyDescent="0.25">
      <c r="F10" s="14"/>
      <c r="G10" s="14"/>
      <c r="H10" s="14"/>
      <c r="I10" s="14" t="str">
        <f ca="1">_xll.DBRA("region06:year",I$9,"caption_default")</f>
        <v>2015</v>
      </c>
      <c r="J10" s="14" t="str">
        <f ca="1">_xll.DBRA("region06:year",J$9,"caption_default")</f>
        <v>2015</v>
      </c>
      <c r="K10" s="14" t="str">
        <f ca="1">_xll.DBRA("region06:year",K$9,"caption_default")</f>
        <v>2015</v>
      </c>
    </row>
    <row r="11" spans="1:12" ht="12" hidden="1" customHeight="1" outlineLevel="1" x14ac:dyDescent="0.25">
      <c r="F11" s="14"/>
      <c r="G11" s="14"/>
      <c r="H11" s="14"/>
      <c r="I11" s="14" t="s">
        <v>50</v>
      </c>
      <c r="J11" s="14" t="s">
        <v>50</v>
      </c>
      <c r="K11" s="14" t="s">
        <v>50</v>
      </c>
    </row>
    <row r="12" spans="1:12" ht="12" hidden="1" customHeight="1" outlineLevel="1" x14ac:dyDescent="0.25">
      <c r="F12" s="14"/>
      <c r="G12" s="14"/>
      <c r="H12" s="14"/>
      <c r="I12" s="14" t="s">
        <v>51</v>
      </c>
      <c r="J12" s="14" t="str">
        <f ca="1">_xll.SUBNM("region06:Version","Current",_xll.DBR("region06:Calendar","Current Version","String"),"Caption_Default")</f>
        <v>Budget</v>
      </c>
      <c r="K12" s="14" t="s">
        <v>52</v>
      </c>
    </row>
    <row r="13" spans="1:12" ht="15" customHeight="1" collapsed="1" thickBot="1" x14ac:dyDescent="0.3">
      <c r="B13" s="71" t="s">
        <v>53</v>
      </c>
      <c r="C13" s="72"/>
      <c r="D13" s="72"/>
      <c r="E13" s="38">
        <f ca="1">_xll.DBRW("region06:task workflow","All Tasks",$B$8,"Complete")</f>
        <v>7</v>
      </c>
      <c r="H13" s="30"/>
      <c r="I13" s="30" t="str">
        <f ca="1">I$12&amp;" "&amp;I10</f>
        <v>Target 2015</v>
      </c>
      <c r="J13" s="30" t="str">
        <f ca="1">J$12&amp;" "&amp;$J$10</f>
        <v>Budget 2015</v>
      </c>
      <c r="K13" s="30" t="s">
        <v>52</v>
      </c>
    </row>
    <row r="14" spans="1:12" ht="15" customHeight="1" thickTop="1" x14ac:dyDescent="0.25">
      <c r="B14" s="71" t="s">
        <v>54</v>
      </c>
      <c r="C14" s="72"/>
      <c r="D14" s="72"/>
      <c r="E14" s="39">
        <f ca="1">_xll.DBRW("region06:task workflow","All Tasks",$B$8,"active")-_xll.DBRW("region06:task workflow","All Tasks",$B$8,"complete")</f>
        <v>5</v>
      </c>
      <c r="H14" s="33" t="s">
        <v>55</v>
      </c>
      <c r="I14" s="34">
        <f ca="1">_xll.DBRW(I$7,I$8,$B$8,I$10,I$11,$H14,I$12)</f>
        <v>1781439.6657131878</v>
      </c>
      <c r="J14" s="34">
        <f ca="1">_xll.DBRW(J$7,J$8,$B$8,J$10,J$11,$H14,J$12)</f>
        <v>5697532.5353232967</v>
      </c>
      <c r="K14" s="35">
        <f ca="1">+J14-I14</f>
        <v>3916092.8696101089</v>
      </c>
      <c r="L14">
        <f ca="1">IF($K14&lt;0,1,0)</f>
        <v>0</v>
      </c>
    </row>
    <row r="15" spans="1:12" x14ac:dyDescent="0.25">
      <c r="B15" s="16"/>
      <c r="C15" s="16"/>
      <c r="H15" s="33" t="s">
        <v>56</v>
      </c>
      <c r="I15" s="34">
        <f ca="1">_xll.DBRW(I$7,I$8,$B$8,I$10,I$11,$H15,I$12)</f>
        <v>710411.91797512444</v>
      </c>
      <c r="J15" s="34">
        <f ca="1">_xll.DBRW(J$7,J$8,$B$8,J$10,J$11,$H15,J$12)</f>
        <v>645575.9269097764</v>
      </c>
      <c r="K15" s="35">
        <f ca="1">+I15-J15</f>
        <v>64835.991065348033</v>
      </c>
      <c r="L15">
        <f t="shared" ref="L15:L18" ca="1" si="0">IF($K15&lt;0,1,0)</f>
        <v>0</v>
      </c>
    </row>
    <row r="16" spans="1:12" x14ac:dyDescent="0.25">
      <c r="B16" s="16"/>
      <c r="C16" s="16"/>
      <c r="H16" s="33" t="s">
        <v>57</v>
      </c>
      <c r="I16" s="34">
        <f ca="1">_xll.DBRW(I$7,I$8,$B$8,I$10,I$11,$H16,I$12)</f>
        <v>99851.30396833492</v>
      </c>
      <c r="J16" s="34">
        <f ca="1">_xll.DBRW(J$7,J$8,$B$8,J$10,J$11,$H16,J$12)</f>
        <v>141614.80000000002</v>
      </c>
      <c r="K16" s="35">
        <f t="shared" ref="K16:K17" ca="1" si="1">+I16-J16</f>
        <v>-41763.496031665098</v>
      </c>
      <c r="L16">
        <f t="shared" ca="1" si="0"/>
        <v>1</v>
      </c>
    </row>
    <row r="17" spans="2:12" x14ac:dyDescent="0.25">
      <c r="B17" s="16"/>
      <c r="C17" s="16"/>
      <c r="H17" s="33" t="s">
        <v>58</v>
      </c>
      <c r="I17" s="34">
        <f ca="1">_xll.DBRW(I$7,I$8,$B$8,I$10,I$11,$H17,I$12)</f>
        <v>134270.06256135003</v>
      </c>
      <c r="J17" s="34">
        <f ca="1">_xll.DBRW(J$7,J$8,$B$8,J$10,J$11,$H17,J$12)</f>
        <v>1455499.9999999998</v>
      </c>
      <c r="K17" s="35">
        <f t="shared" ca="1" si="1"/>
        <v>-1321229.9374386498</v>
      </c>
      <c r="L17">
        <f t="shared" ca="1" si="0"/>
        <v>1</v>
      </c>
    </row>
    <row r="18" spans="2:12" x14ac:dyDescent="0.25">
      <c r="B18" s="16"/>
      <c r="C18" s="16"/>
      <c r="H18" s="36" t="s">
        <v>59</v>
      </c>
      <c r="I18" s="34">
        <f ca="1">_xll.DBRW(I$7,I$8,$B$8,I$10,I$11,$H18,I$12)</f>
        <v>187716.61913719849</v>
      </c>
      <c r="J18" s="34">
        <f ca="1">_xll.DBRW(J$7,J$8,$B$8,J$10,J$11,$H18,J$12)</f>
        <v>3022619.0484135207</v>
      </c>
      <c r="K18" s="37">
        <f ca="1">+J18-I18</f>
        <v>2834902.429276322</v>
      </c>
      <c r="L18">
        <f t="shared" ca="1" si="0"/>
        <v>0</v>
      </c>
    </row>
    <row r="19" spans="2:12" x14ac:dyDescent="0.25">
      <c r="B19" s="16"/>
      <c r="C19" s="16"/>
      <c r="H19" s="16"/>
      <c r="I19" s="16"/>
      <c r="J19" s="16"/>
      <c r="K19" s="16"/>
    </row>
    <row r="20" spans="2:12" x14ac:dyDescent="0.25">
      <c r="B20" s="16"/>
      <c r="C20" s="16"/>
      <c r="H20" s="36" t="s">
        <v>66</v>
      </c>
      <c r="I20" s="34">
        <f ca="1">SUM($L14:$L18)</f>
        <v>2</v>
      </c>
      <c r="J20" s="16"/>
      <c r="K20" s="16"/>
    </row>
    <row r="21" spans="2:12" x14ac:dyDescent="0.25">
      <c r="B21" s="16"/>
      <c r="C21" s="16"/>
      <c r="H21" s="16"/>
      <c r="I21" s="16"/>
      <c r="J21" s="16"/>
      <c r="K21" s="16"/>
    </row>
    <row r="22" spans="2:12" x14ac:dyDescent="0.25">
      <c r="B22" s="16"/>
      <c r="C22" s="16"/>
      <c r="H22" s="16"/>
      <c r="I22" s="16"/>
      <c r="J22" s="16"/>
      <c r="K22" s="16"/>
    </row>
    <row r="23" spans="2:12" x14ac:dyDescent="0.25">
      <c r="B23" s="16"/>
      <c r="C23" s="16"/>
      <c r="H23" s="16"/>
      <c r="I23" s="16"/>
      <c r="J23" s="16"/>
      <c r="K23" s="16"/>
    </row>
    <row r="24" spans="2:12" x14ac:dyDescent="0.25">
      <c r="B24" s="16"/>
      <c r="C24" s="16"/>
      <c r="H24" s="16"/>
      <c r="I24" s="16"/>
      <c r="J24" s="16"/>
      <c r="K24" s="16"/>
    </row>
  </sheetData>
  <mergeCells count="4">
    <mergeCell ref="B5:E5"/>
    <mergeCell ref="H5:K5"/>
    <mergeCell ref="B13:D13"/>
    <mergeCell ref="B14:D14"/>
  </mergeCells>
  <conditionalFormatting sqref="K14:K18">
    <cfRule type="cellIs" dxfId="4" priority="4" operator="greaterThanOrEqual">
      <formula>0</formula>
    </cfRule>
    <cfRule type="cellIs" dxfId="3" priority="5" operator="lessThan">
      <formula>0</formula>
    </cfRule>
  </conditionalFormatting>
  <conditionalFormatting sqref="E14">
    <cfRule type="cellIs" dxfId="2" priority="3" operator="greaterThan">
      <formula>0</formula>
    </cfRule>
  </conditionalFormatting>
  <conditionalFormatting sqref="I20">
    <cfRule type="cellIs" dxfId="1" priority="2" operator="greaterThan">
      <formula>0</formula>
    </cfRule>
    <cfRule type="cellIs" dxfId="0" priority="1" operator="lessThanOrEqual">
      <formula>0</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5" x14ac:dyDescent="0.25"/>
  <sheetData>
    <row r="1" spans="1:1" x14ac:dyDescent="0.25">
      <c r="A1" t="s">
        <v>61</v>
      </c>
    </row>
    <row r="2" spans="1:1" x14ac:dyDescent="0.25">
      <c r="A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vt:lpstr>
      <vt:lpstr>Instructions</vt:lpstr>
      <vt:lpstr>Tasks</vt:lpstr>
      <vt:lpstr>Status</vt:lpstr>
      <vt:lpstr>{PL}PickLst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ibmuser</dc:creator>
  <cp:lastModifiedBy>modeler12</cp:lastModifiedBy>
  <dcterms:created xsi:type="dcterms:W3CDTF">2012-02-01T20:12:49Z</dcterms:created>
  <dcterms:modified xsi:type="dcterms:W3CDTF">2018-05-08T10:20:12Z</dcterms:modified>
</cp:coreProperties>
</file>