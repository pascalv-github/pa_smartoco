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harts/chart1.xml" ContentType="application/vnd.openxmlformats-officedocument.drawingml.chart+xml"/>
  <Override PartName="/xl/printerSettings/printerSettings2.bin" ContentType="application/vnd.openxmlformats-officedocument.spreadsheetml.printerSettings"/>
  <Override PartName="/xl/drawings/drawing2.xml" ContentType="application/vnd.openxmlformats-officedocument.drawing+xml"/>
  <Override PartName="/xl/printerSettings/printerSettings3.bin" ContentType="application/vnd.openxmlformats-officedocument.spreadsheetml.printerSettings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rinterSettings/printerSettings4.bin" ContentType="application/vnd.openxmlformats-officedocument.spreadsheetml.printerSettings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rinterSettings/printerSettings7.bin" ContentType="application/vnd.openxmlformats-officedocument.spreadsheetml.printerSettings"/>
  <Override PartName="/xl/drawings/drawing6.xml" ContentType="application/vnd.openxmlformats-officedocument.drawing+xml"/>
  <Override PartName="/xl/printerSettings/printerSettings8.bin" ContentType="application/vnd.openxmlformats-officedocument.spreadsheetml.printerSettings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rinterSettings/printerSettings9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 defaultThemeVersion="124226"/>
  <bookViews>
    <workbookView xWindow="360" yWindow="375" windowWidth="8910" windowHeight="2040" firstSheet="1" activeTab="1"/>
  </bookViews>
  <sheets>
    <sheet name="Cognos_Office_Connection_Cache" sheetId="19" state="veryHidden" r:id="rId1"/>
    <sheet name="ProductAdmin" sheetId="18" r:id="rId2"/>
    <sheet name="UnitFcst" sheetId="10" r:id="rId3"/>
    <sheet name="ChannelDetail" sheetId="5" r:id="rId4"/>
    <sheet name="MarginDetail" sheetId="13" r:id="rId5"/>
    <sheet name="Lookup" sheetId="2" state="hidden" r:id="rId6"/>
    <sheet name="MarginDetailByQ" sheetId="20" r:id="rId7"/>
    <sheet name="Assumptions" sheetId="14" r:id="rId8"/>
    <sheet name="Report" sheetId="16" r:id="rId9"/>
    <sheet name="Lookup (2)" sheetId="17" state="hidden" r:id="rId10"/>
  </sheets>
  <definedNames>
    <definedName name="ID" localSheetId="7" hidden="1">"5b92348e-5798-4ac8-b5a2-ace097011e23"</definedName>
    <definedName name="ID" localSheetId="3" hidden="1">"d72491e0-1b9b-4200-ae2c-d7ce74533628"</definedName>
    <definedName name="ID" localSheetId="0" hidden="1">"042b967b-a60f-43a1-8b33-a7b9563c6aef"</definedName>
    <definedName name="ID" localSheetId="5" hidden="1">"9945764c-1f6a-45cf-8bb8-1346345edc37"</definedName>
    <definedName name="ID" localSheetId="9" hidden="1">"9945764c-1f6a-45cf-8bb8-1346345edc37"</definedName>
    <definedName name="ID" localSheetId="4" hidden="1">"b3931834-4bc8-4013-96a8-b21b25e317ba"</definedName>
    <definedName name="ID" localSheetId="1" hidden="1">"00366557-f529-4e7b-b2c2-f768e16211c9"</definedName>
    <definedName name="ID" localSheetId="8" hidden="1">"efe4704e-ad40-4443-9582-5800b32716de"</definedName>
    <definedName name="ID" localSheetId="2" hidden="1">"05cc3bcf-6534-49a0-9f71-5aec73518ceb"</definedName>
    <definedName name="Method" localSheetId="9">'Lookup (2)'!$G$2:$G$3</definedName>
    <definedName name="Method">Lookup!$G$2:$G$3</definedName>
    <definedName name="pChannel" localSheetId="1">ProductAdmin!$H$5</definedName>
    <definedName name="pCurrentProduct" localSheetId="1">ProductAdmin!$B$20</definedName>
    <definedName name="pFcstMethod" localSheetId="1">ProductAdmin!#REF!</definedName>
    <definedName name="pNewName" localSheetId="1">ProductAdmin!$D$10</definedName>
    <definedName name="pNewNumber" localSheetId="1">ProductAdmin!$R$5</definedName>
    <definedName name="pOrg">ProductAdmin!$D$7</definedName>
    <definedName name="pParent" localSheetId="1">ProductAdmin!$H$10</definedName>
    <definedName name="pProductDriver" localSheetId="1">ProductAdmin!$Q$10</definedName>
    <definedName name="ProductGroups" localSheetId="9">'Lookup (2)'!$I$2:$I$11</definedName>
    <definedName name="ProductGroups">Lookup!$I$2:$I$11</definedName>
    <definedName name="ProductSubsets" localSheetId="9">'Lookup (2)'!$A$2:$A$6</definedName>
    <definedName name="ProductSubsets">Lookup!$A$2:$A$6</definedName>
    <definedName name="pSpread" localSheetId="1">ProductAdmin!$N$10</definedName>
    <definedName name="pUnitFcst" localSheetId="1">ProductAdmin!$K$10</definedName>
    <definedName name="pVersion" localSheetId="1">ProductAdmin!$N$5</definedName>
    <definedName name="pYear" localSheetId="1">ProductAdmin!$K$5</definedName>
    <definedName name="SelectYesNo" localSheetId="9">'Lookup (2)'!$D$2:$D$3</definedName>
    <definedName name="SelectYesNo">Lookup!$D$2:$D$3</definedName>
    <definedName name="Spreads" localSheetId="9">'Lookup (2)'!$M$2:$M$23</definedName>
    <definedName name="Spreads">Lookup!$M$2:$M$23</definedName>
    <definedName name="TM1REBUILDOPTION">1</definedName>
    <definedName name="TM1RPTDATARNG1" localSheetId="2">UnitFcst!$19:$30</definedName>
    <definedName name="TM1RPTFMTIDCOL" localSheetId="2">UnitFcst!$A$1:$A$8</definedName>
    <definedName name="TM1RPTFMTRNG" localSheetId="2">UnitFcst!$C$1:$P$8</definedName>
  </definedNames>
  <calcPr calcId="145621" concurrentCalc="0"/>
</workbook>
</file>

<file path=xl/calcChain.xml><?xml version="1.0" encoding="utf-8"?>
<calcChain xmlns="http://schemas.openxmlformats.org/spreadsheetml/2006/main">
  <c r="A30" i="10" l="1"/>
  <c r="A29" i="10"/>
  <c r="A28" i="10"/>
  <c r="A27" i="10"/>
  <c r="A26" i="10"/>
  <c r="A25" i="10"/>
  <c r="A24" i="10"/>
  <c r="A23" i="10"/>
  <c r="A22" i="10"/>
  <c r="A21" i="10"/>
  <c r="A20" i="10"/>
  <c r="C9" i="10"/>
  <c r="D7" i="18"/>
  <c r="C13" i="10"/>
  <c r="D13" i="10"/>
  <c r="H13" i="10"/>
  <c r="J13" i="10"/>
  <c r="F13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19" i="16"/>
  <c r="C18" i="16"/>
  <c r="C17" i="16"/>
  <c r="C16" i="16"/>
  <c r="C15" i="16"/>
  <c r="C14" i="16"/>
  <c r="C13" i="16"/>
  <c r="C12" i="16"/>
  <c r="C11" i="16"/>
  <c r="C10" i="16"/>
  <c r="C9" i="16"/>
  <c r="C8" i="16"/>
  <c r="G5" i="16"/>
  <c r="F5" i="16"/>
  <c r="E5" i="16"/>
  <c r="D5" i="16"/>
  <c r="C5" i="16"/>
  <c r="D1" i="16"/>
  <c r="D20" i="14"/>
  <c r="D19" i="14"/>
  <c r="D18" i="14"/>
  <c r="D17" i="14"/>
  <c r="D15" i="14"/>
  <c r="D14" i="14"/>
  <c r="D13" i="14"/>
  <c r="D12" i="14"/>
  <c r="D10" i="14"/>
  <c r="D9" i="14"/>
  <c r="D8" i="14"/>
  <c r="D7" i="14"/>
  <c r="H5" i="14"/>
  <c r="F5" i="14"/>
  <c r="D5" i="14"/>
  <c r="D1" i="14"/>
  <c r="C15" i="20"/>
  <c r="C14" i="20"/>
  <c r="C13" i="20"/>
  <c r="C12" i="20"/>
  <c r="C11" i="20"/>
  <c r="C10" i="20"/>
  <c r="C9" i="20"/>
  <c r="H8" i="20"/>
  <c r="G8" i="20"/>
  <c r="F8" i="20"/>
  <c r="E8" i="20"/>
  <c r="H5" i="20"/>
  <c r="G5" i="20"/>
  <c r="F5" i="20"/>
  <c r="D5" i="20"/>
  <c r="C5" i="20"/>
  <c r="E1" i="20"/>
  <c r="C15" i="13"/>
  <c r="C14" i="13"/>
  <c r="C13" i="13"/>
  <c r="C12" i="13"/>
  <c r="C11" i="13"/>
  <c r="C10" i="13"/>
  <c r="C9" i="13"/>
  <c r="H8" i="13"/>
  <c r="G8" i="13"/>
  <c r="F8" i="13"/>
  <c r="H5" i="13"/>
  <c r="G5" i="13"/>
  <c r="F5" i="13"/>
  <c r="D5" i="13"/>
  <c r="C5" i="13"/>
  <c r="E1" i="13"/>
  <c r="C29" i="5"/>
  <c r="C28" i="5"/>
  <c r="C27" i="5"/>
  <c r="C26" i="5"/>
  <c r="C11" i="5"/>
  <c r="C10" i="5"/>
  <c r="C9" i="5"/>
  <c r="C8" i="5"/>
  <c r="L5" i="5"/>
  <c r="J5" i="5"/>
  <c r="H5" i="5"/>
  <c r="E5" i="5"/>
  <c r="C5" i="5"/>
  <c r="D1" i="5"/>
  <c r="L13" i="10"/>
  <c r="C19" i="10"/>
  <c r="A20" i="18"/>
  <c r="Q10" i="18"/>
  <c r="A18" i="18"/>
  <c r="D17" i="18"/>
  <c r="N10" i="18"/>
  <c r="H10" i="18"/>
  <c r="R5" i="18"/>
  <c r="N5" i="18"/>
  <c r="K5" i="18"/>
  <c r="H5" i="18"/>
  <c r="F1" i="18"/>
  <c r="A2" i="10"/>
  <c r="A3" i="10"/>
  <c r="A4" i="10"/>
  <c r="A5" i="10"/>
  <c r="I2" i="17"/>
  <c r="I4" i="17"/>
  <c r="I6" i="17"/>
  <c r="I8" i="17"/>
  <c r="I10" i="17"/>
  <c r="M12" i="17"/>
  <c r="M16" i="17"/>
  <c r="M19" i="17"/>
  <c r="M23" i="17"/>
  <c r="M5" i="2"/>
  <c r="M15" i="2"/>
  <c r="M4" i="2"/>
  <c r="I9" i="2"/>
  <c r="I4" i="2"/>
  <c r="M12" i="2"/>
  <c r="M10" i="2"/>
  <c r="I11" i="2"/>
  <c r="M2" i="17"/>
  <c r="M4" i="17"/>
  <c r="M6" i="17"/>
  <c r="M8" i="17"/>
  <c r="M10" i="17"/>
  <c r="M13" i="17"/>
  <c r="M17" i="17"/>
  <c r="M20" i="17"/>
  <c r="M7" i="2"/>
  <c r="M18" i="2"/>
  <c r="M8" i="2"/>
  <c r="M14" i="2"/>
  <c r="I6" i="2"/>
  <c r="M16" i="2"/>
  <c r="M13" i="2"/>
  <c r="I18" i="2"/>
  <c r="I3" i="17"/>
  <c r="I5" i="17"/>
  <c r="I7" i="17"/>
  <c r="I9" i="17"/>
  <c r="I11" i="17"/>
  <c r="M14" i="17"/>
  <c r="I18" i="17"/>
  <c r="M21" i="17"/>
  <c r="I3" i="2"/>
  <c r="M9" i="2"/>
  <c r="M22" i="2"/>
  <c r="M17" i="2"/>
  <c r="M21" i="2"/>
  <c r="I8" i="2"/>
  <c r="M23" i="2"/>
  <c r="M20" i="2"/>
  <c r="M2" i="2"/>
  <c r="E9" i="20"/>
  <c r="H15" i="20"/>
  <c r="F15" i="20"/>
  <c r="H14" i="20"/>
  <c r="F13" i="20"/>
  <c r="H12" i="20"/>
  <c r="F11" i="20"/>
  <c r="H10" i="20"/>
  <c r="H9" i="20"/>
  <c r="M3" i="17"/>
  <c r="M5" i="17"/>
  <c r="M7" i="17"/>
  <c r="M9" i="17"/>
  <c r="M11" i="17"/>
  <c r="M15" i="17"/>
  <c r="M18" i="17"/>
  <c r="M22" i="17"/>
  <c r="H19" i="16"/>
  <c r="F18" i="16"/>
  <c r="H17" i="16"/>
  <c r="F16" i="16"/>
  <c r="H15" i="16"/>
  <c r="F14" i="16"/>
  <c r="H13" i="16"/>
  <c r="F12" i="16"/>
  <c r="H11" i="16"/>
  <c r="F10" i="16"/>
  <c r="H9" i="16"/>
  <c r="F8" i="16"/>
  <c r="O19" i="14"/>
  <c r="K18" i="14"/>
  <c r="G15" i="14"/>
  <c r="O13" i="14"/>
  <c r="K10" i="14"/>
  <c r="G9" i="14"/>
  <c r="L19" i="14"/>
  <c r="H13" i="14"/>
  <c r="M3" i="2"/>
  <c r="M11" i="2"/>
  <c r="M19" i="2"/>
  <c r="I5" i="2"/>
  <c r="I2" i="2"/>
  <c r="I10" i="2"/>
  <c r="M6" i="2"/>
  <c r="I7" i="2"/>
  <c r="F14" i="13"/>
  <c r="E10" i="13"/>
  <c r="D29" i="5"/>
  <c r="N27" i="5"/>
  <c r="K26" i="5"/>
  <c r="P11" i="5"/>
  <c r="G26" i="5"/>
  <c r="H11" i="5"/>
  <c r="E10" i="5"/>
  <c r="O8" i="5"/>
  <c r="K9" i="5"/>
  <c r="P26" i="5"/>
  <c r="F28" i="5"/>
  <c r="I29" i="5"/>
  <c r="F10" i="5"/>
  <c r="D9" i="5"/>
  <c r="K10" i="5"/>
  <c r="N11" i="5"/>
  <c r="D27" i="5"/>
  <c r="G28" i="5"/>
  <c r="J29" i="5"/>
  <c r="O9" i="5"/>
  <c r="E8" i="5"/>
  <c r="J8" i="5"/>
  <c r="M9" i="5"/>
  <c r="P10" i="5"/>
  <c r="F26" i="5"/>
  <c r="I27" i="5"/>
  <c r="L28" i="5"/>
  <c r="O29" i="5"/>
  <c r="G12" i="13"/>
  <c r="F13" i="13"/>
  <c r="G11" i="13"/>
  <c r="G15" i="13"/>
  <c r="F10" i="13"/>
  <c r="L10" i="14"/>
  <c r="P13" i="14"/>
  <c r="P19" i="14"/>
  <c r="M9" i="14"/>
  <c r="I14" i="14"/>
  <c r="I19" i="14"/>
  <c r="H9" i="14"/>
  <c r="L15" i="14"/>
  <c r="P20" i="14"/>
  <c r="E10" i="14"/>
  <c r="M14" i="14"/>
  <c r="E19" i="14"/>
  <c r="J8" i="14"/>
  <c r="N9" i="14"/>
  <c r="F13" i="14"/>
  <c r="J14" i="14"/>
  <c r="N15" i="14"/>
  <c r="F19" i="14"/>
  <c r="J20" i="14"/>
  <c r="N20" i="14"/>
  <c r="D11" i="5"/>
  <c r="N9" i="5"/>
  <c r="K8" i="5"/>
  <c r="A19" i="10"/>
  <c r="J10" i="5"/>
  <c r="G27" i="5"/>
  <c r="J28" i="5"/>
  <c r="M29" i="5"/>
  <c r="E11" i="5"/>
  <c r="H9" i="5"/>
  <c r="O10" i="5"/>
  <c r="E26" i="5"/>
  <c r="H27" i="5"/>
  <c r="K28" i="5"/>
  <c r="N29" i="5"/>
  <c r="N10" i="5"/>
  <c r="M8" i="5"/>
  <c r="N8" i="5"/>
  <c r="D10" i="5"/>
  <c r="G11" i="5"/>
  <c r="J26" i="5"/>
  <c r="M27" i="5"/>
  <c r="P28" i="5"/>
  <c r="E9" i="13"/>
  <c r="E13" i="13"/>
  <c r="H10" i="13"/>
  <c r="E12" i="13"/>
  <c r="F9" i="13"/>
  <c r="H11" i="13"/>
  <c r="L8" i="14"/>
  <c r="P14" i="14"/>
  <c r="L20" i="14"/>
  <c r="I10" i="14"/>
  <c r="E15" i="14"/>
  <c r="E20" i="14"/>
  <c r="H10" i="14"/>
  <c r="L18" i="14"/>
  <c r="E8" i="14"/>
  <c r="M10" i="14"/>
  <c r="I15" i="14"/>
  <c r="M19" i="14"/>
  <c r="N8" i="14"/>
  <c r="F10" i="14"/>
  <c r="J13" i="14"/>
  <c r="N14" i="14"/>
  <c r="F18" i="14"/>
  <c r="J19" i="14"/>
  <c r="N19" i="14"/>
  <c r="M10" i="5"/>
  <c r="J9" i="5"/>
  <c r="G8" i="5"/>
  <c r="I11" i="5"/>
  <c r="K27" i="5"/>
  <c r="N28" i="5"/>
  <c r="H8" i="5"/>
  <c r="D26" i="5"/>
  <c r="L9" i="5"/>
  <c r="F11" i="5"/>
  <c r="I26" i="5"/>
  <c r="L27" i="5"/>
  <c r="O28" i="5"/>
  <c r="D8" i="5"/>
  <c r="M11" i="5"/>
  <c r="P9" i="5"/>
  <c r="E9" i="5"/>
  <c r="H10" i="5"/>
  <c r="K11" i="5"/>
  <c r="N26" i="5"/>
  <c r="D28" i="5"/>
  <c r="G29" i="5"/>
  <c r="G10" i="13"/>
  <c r="G14" i="13"/>
  <c r="H14" i="13"/>
  <c r="G13" i="13"/>
  <c r="F11" i="13"/>
  <c r="H13" i="13"/>
  <c r="L9" i="14"/>
  <c r="P15" i="14"/>
  <c r="I8" i="14"/>
  <c r="E13" i="14"/>
  <c r="M15" i="14"/>
  <c r="M20" i="14"/>
  <c r="L13" i="14"/>
  <c r="H19" i="14"/>
  <c r="M8" i="14"/>
  <c r="I13" i="14"/>
  <c r="E18" i="14"/>
  <c r="I20" i="14"/>
  <c r="F9" i="14"/>
  <c r="J10" i="14"/>
  <c r="N13" i="14"/>
  <c r="F15" i="14"/>
  <c r="J18" i="14"/>
  <c r="L11" i="5"/>
  <c r="I10" i="5"/>
  <c r="F9" i="5"/>
  <c r="K19" i="10"/>
  <c r="L19" i="10"/>
  <c r="E19" i="10"/>
  <c r="L8" i="5"/>
  <c r="L26" i="5"/>
  <c r="O27" i="5"/>
  <c r="E29" i="5"/>
  <c r="G9" i="5"/>
  <c r="I8" i="5"/>
  <c r="G10" i="5"/>
  <c r="J11" i="5"/>
  <c r="M26" i="5"/>
  <c r="P27" i="5"/>
  <c r="F29" i="5"/>
  <c r="P8" i="5"/>
  <c r="H26" i="5"/>
  <c r="F8" i="5"/>
  <c r="I9" i="5"/>
  <c r="L10" i="5"/>
  <c r="O11" i="5"/>
  <c r="E27" i="5"/>
  <c r="H28" i="5"/>
  <c r="K29" i="5"/>
  <c r="E11" i="13"/>
  <c r="E15" i="13"/>
  <c r="G9" i="13"/>
  <c r="E14" i="13"/>
  <c r="F15" i="13"/>
  <c r="H15" i="13"/>
  <c r="P10" i="14"/>
  <c r="P18" i="14"/>
  <c r="E9" i="14"/>
  <c r="M13" i="14"/>
  <c r="M18" i="14"/>
  <c r="H8" i="14"/>
  <c r="L14" i="14"/>
  <c r="H20" i="14"/>
  <c r="I9" i="14"/>
  <c r="E14" i="14"/>
  <c r="I18" i="14"/>
  <c r="F8" i="14"/>
  <c r="J9" i="14"/>
  <c r="N10" i="14"/>
  <c r="F14" i="14"/>
  <c r="J15" i="14"/>
  <c r="N18" i="14"/>
  <c r="F20" i="14"/>
  <c r="E10" i="20"/>
  <c r="I10" i="20"/>
  <c r="G11" i="20"/>
  <c r="E12" i="20"/>
  <c r="I12" i="20"/>
  <c r="G13" i="20"/>
  <c r="E14" i="20"/>
  <c r="I14" i="20"/>
  <c r="F9" i="20"/>
  <c r="F10" i="20"/>
  <c r="H11" i="20"/>
  <c r="F12" i="20"/>
  <c r="H13" i="20"/>
  <c r="F14" i="20"/>
  <c r="G15" i="20"/>
  <c r="I15" i="20"/>
  <c r="G9" i="20"/>
  <c r="G10" i="20"/>
  <c r="E11" i="20"/>
  <c r="I11" i="20"/>
  <c r="G12" i="20"/>
  <c r="E13" i="20"/>
  <c r="I13" i="20"/>
  <c r="G14" i="20"/>
  <c r="E15" i="20"/>
  <c r="G8" i="16"/>
  <c r="E9" i="16"/>
  <c r="I9" i="16"/>
  <c r="G10" i="16"/>
  <c r="E11" i="16"/>
  <c r="I11" i="16"/>
  <c r="G12" i="16"/>
  <c r="E13" i="16"/>
  <c r="I13" i="16"/>
  <c r="G14" i="16"/>
  <c r="E15" i="16"/>
  <c r="I15" i="16"/>
  <c r="G16" i="16"/>
  <c r="E17" i="16"/>
  <c r="I17" i="16"/>
  <c r="G18" i="16"/>
  <c r="E19" i="16"/>
  <c r="I19" i="16"/>
  <c r="H8" i="16"/>
  <c r="F9" i="16"/>
  <c r="H10" i="16"/>
  <c r="F11" i="16"/>
  <c r="H12" i="16"/>
  <c r="F13" i="16"/>
  <c r="H14" i="16"/>
  <c r="F15" i="16"/>
  <c r="H16" i="16"/>
  <c r="F17" i="16"/>
  <c r="H18" i="16"/>
  <c r="F19" i="16"/>
  <c r="E8" i="16"/>
  <c r="I8" i="16"/>
  <c r="G9" i="16"/>
  <c r="E10" i="16"/>
  <c r="I10" i="16"/>
  <c r="G11" i="16"/>
  <c r="E12" i="16"/>
  <c r="I12" i="16"/>
  <c r="G13" i="16"/>
  <c r="E14" i="16"/>
  <c r="I14" i="16"/>
  <c r="G15" i="16"/>
  <c r="E16" i="16"/>
  <c r="I16" i="16"/>
  <c r="G17" i="16"/>
  <c r="E18" i="16"/>
  <c r="I18" i="16"/>
  <c r="G19" i="16"/>
  <c r="H14" i="14"/>
  <c r="G8" i="14"/>
  <c r="K9" i="14"/>
  <c r="O10" i="14"/>
  <c r="G14" i="14"/>
  <c r="K15" i="14"/>
  <c r="O18" i="14"/>
  <c r="G20" i="14"/>
  <c r="P8" i="14"/>
  <c r="H15" i="14"/>
  <c r="K8" i="14"/>
  <c r="O9" i="14"/>
  <c r="G13" i="14"/>
  <c r="K14" i="14"/>
  <c r="O15" i="14"/>
  <c r="G19" i="14"/>
  <c r="K20" i="14"/>
  <c r="P9" i="14"/>
  <c r="H18" i="14"/>
  <c r="O8" i="14"/>
  <c r="G10" i="14"/>
  <c r="K13" i="14"/>
  <c r="O14" i="14"/>
  <c r="G18" i="14"/>
  <c r="K19" i="14"/>
  <c r="O20" i="14"/>
  <c r="H12" i="13"/>
  <c r="F12" i="13"/>
  <c r="H9" i="13"/>
  <c r="O26" i="5"/>
  <c r="E28" i="5"/>
  <c r="H29" i="5"/>
  <c r="F27" i="5"/>
  <c r="I28" i="5"/>
  <c r="L29" i="5"/>
  <c r="J27" i="5"/>
  <c r="M28" i="5"/>
  <c r="P29" i="5"/>
  <c r="F19" i="10"/>
  <c r="M19" i="10"/>
  <c r="P19" i="10"/>
  <c r="G19" i="10"/>
  <c r="J19" i="10"/>
  <c r="D19" i="10"/>
  <c r="I19" i="10"/>
  <c r="N19" i="10"/>
  <c r="H19" i="10"/>
  <c r="O19" i="10"/>
  <c r="C7" i="5"/>
  <c r="B18" i="18"/>
  <c r="B19" i="18"/>
  <c r="B20" i="18"/>
  <c r="P19" i="18"/>
  <c r="L19" i="18"/>
  <c r="H19" i="18"/>
  <c r="Q18" i="18"/>
  <c r="M18" i="18"/>
  <c r="I18" i="18"/>
  <c r="S19" i="18"/>
  <c r="O19" i="18"/>
  <c r="K19" i="18"/>
  <c r="G19" i="18"/>
  <c r="P18" i="18"/>
  <c r="L18" i="18"/>
  <c r="H18" i="18"/>
  <c r="R19" i="18"/>
  <c r="N19" i="18"/>
  <c r="J19" i="18"/>
  <c r="S18" i="18"/>
  <c r="O18" i="18"/>
  <c r="K18" i="18"/>
  <c r="G18" i="18"/>
  <c r="J18" i="18"/>
  <c r="N18" i="18"/>
  <c r="R18" i="18"/>
  <c r="I19" i="18"/>
  <c r="M19" i="18"/>
  <c r="Q19" i="18"/>
  <c r="J20" i="18"/>
  <c r="N20" i="18"/>
  <c r="R20" i="18"/>
  <c r="G20" i="18"/>
  <c r="K20" i="18"/>
  <c r="O20" i="18"/>
  <c r="S20" i="18"/>
  <c r="H20" i="18"/>
  <c r="L20" i="18"/>
  <c r="P20" i="18"/>
  <c r="Q20" i="18"/>
  <c r="M20" i="18"/>
  <c r="I20" i="18"/>
</calcChain>
</file>

<file path=xl/sharedStrings.xml><?xml version="1.0" encoding="utf-8"?>
<sst xmlns="http://schemas.openxmlformats.org/spreadsheetml/2006/main" count="255" uniqueCount="93">
  <si>
    <t>Channel</t>
  </si>
  <si>
    <t>Year</t>
  </si>
  <si>
    <t>Version</t>
  </si>
  <si>
    <t>D</t>
  </si>
  <si>
    <t>N</t>
  </si>
  <si>
    <t>[Begin Format Range]</t>
  </si>
  <si>
    <t>[End Format Range]</t>
  </si>
  <si>
    <t>Organization</t>
  </si>
  <si>
    <t>Row Filter</t>
  </si>
  <si>
    <t>Yes</t>
  </si>
  <si>
    <t>ProductSubsets</t>
  </si>
  <si>
    <t>Default</t>
  </si>
  <si>
    <t>Product All</t>
  </si>
  <si>
    <t>Clinical System Analyzers</t>
  </si>
  <si>
    <t>System Accessories</t>
  </si>
  <si>
    <t>System Analysis Packs</t>
  </si>
  <si>
    <t>SelectYesNo</t>
  </si>
  <si>
    <t>No</t>
  </si>
  <si>
    <t>CUBE: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</si>
  <si>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</si>
  <si>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</si>
  <si>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</si>
  <si>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</si>
  <si>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</si>
  <si>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</si>
  <si>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</si>
  <si>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</si>
  <si>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</si>
  <si>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</si>
  <si>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</si>
  <si>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</si>
  <si>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Channel Total</t>
  </si>
  <si>
    <t>Product</t>
  </si>
  <si>
    <t>Measure</t>
  </si>
  <si>
    <t>New Product Name</t>
  </si>
  <si>
    <t>Generic Spread</t>
  </si>
  <si>
    <t>Method</t>
  </si>
  <si>
    <t>ProductGroups</t>
  </si>
  <si>
    <t>Spreads</t>
  </si>
  <si>
    <t>Specific Product</t>
  </si>
  <si>
    <t>Units Sold</t>
  </si>
  <si>
    <t>Gross Revenue</t>
  </si>
  <si>
    <t>Month</t>
  </si>
  <si>
    <t>Unit Price</t>
  </si>
  <si>
    <t>Unit Cost</t>
  </si>
  <si>
    <t>Cost of Sales</t>
  </si>
  <si>
    <t>Gross Margin</t>
  </si>
  <si>
    <t>Gross Margin %</t>
  </si>
  <si>
    <t>Initiative Discount</t>
  </si>
  <si>
    <t>Product Total</t>
  </si>
  <si>
    <t>Q1</t>
  </si>
  <si>
    <t>Q2</t>
  </si>
  <si>
    <t>Q3</t>
  </si>
  <si>
    <t>Q4</t>
  </si>
  <si>
    <t>20000</t>
  </si>
  <si>
    <t>21000</t>
  </si>
  <si>
    <t>22000</t>
  </si>
  <si>
    <t>23000</t>
  </si>
  <si>
    <t>30000</t>
  </si>
  <si>
    <t>31000</t>
  </si>
  <si>
    <t>32000</t>
  </si>
  <si>
    <t>33000</t>
  </si>
  <si>
    <t>40000</t>
  </si>
  <si>
    <t>41000</t>
  </si>
  <si>
    <t>42000</t>
  </si>
  <si>
    <t>Phones</t>
  </si>
  <si>
    <t>3G Smart Phones</t>
  </si>
  <si>
    <t>4G Smart Phones</t>
  </si>
  <si>
    <t>Phone Only</t>
  </si>
  <si>
    <t>PCs</t>
  </si>
  <si>
    <t>Desktops</t>
  </si>
  <si>
    <t>Laptops</t>
  </si>
  <si>
    <t>Gaming</t>
  </si>
  <si>
    <t>Tablets</t>
  </si>
  <si>
    <t>10 Inch Tablets</t>
  </si>
  <si>
    <t>8 Inch Tablets</t>
  </si>
  <si>
    <t>10</t>
  </si>
  <si>
    <t>20</t>
  </si>
  <si>
    <t>30</t>
  </si>
  <si>
    <t>one</t>
  </si>
  <si>
    <t>two</t>
  </si>
  <si>
    <t>three</t>
  </si>
  <si>
    <t>Dee</t>
  </si>
  <si>
    <t>Nnn</t>
  </si>
  <si>
    <t>PRODUCT</t>
  </si>
  <si>
    <t xml:space="preserve"> </t>
  </si>
  <si>
    <t>Parent</t>
  </si>
  <si>
    <t>Yearly Unit Forecast</t>
  </si>
  <si>
    <t>Start Date</t>
  </si>
  <si>
    <t>Like Product Plan</t>
  </si>
  <si>
    <t>Predicted Plan</t>
  </si>
  <si>
    <t>New Product Plan</t>
  </si>
  <si>
    <t>Comparable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</si>
</sst>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_(* #,##0_);_(* \(#,##0\);_(* &quot; &quot;??_);_(@_)"/>
    <numFmt numFmtId="165" formatCode="_(* #,##0_);_(* \(#,##0\);_(* &quot;-&quot;??_);_(@_)"/>
    <numFmt numFmtId="166" formatCode="&quot;- &quot;@"/>
    <numFmt numFmtId="167" formatCode="&quot;+ &quot;@"/>
    <numFmt numFmtId="168" formatCode="0.0%"/>
    <numFmt numFmtId="169" formatCode="#0.0\%"/>
    <numFmt numFmtId="170" formatCode="#,##0.0_);[Red]\(#,##0.0\)"/>
  </numFmts>
  <fonts count="37" x14ac:knownFonts="1">
    <font>
      <sz val="11"/>
      <color theme="1"/>
      <name val="Calibri"/>
      <family val="2"/>
      <scheme val="minor"/>
    </font>
    <font>
      <sz val="10"/>
      <color indexed="9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sz val="8"/>
      <color indexed="8"/>
      <name val="Calibri"/>
      <family val="2"/>
    </font>
    <font>
      <sz val="11"/>
      <color indexed="44"/>
      <name val="Calibri"/>
      <family val="2"/>
    </font>
    <font>
      <sz val="14"/>
      <color indexed="63"/>
      <name val="Calibri"/>
      <family val="2"/>
    </font>
    <font>
      <sz val="14"/>
      <name val="Calibri"/>
      <family val="2"/>
    </font>
    <font>
      <sz val="8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12"/>
      <name val="Calibri"/>
      <family val="2"/>
      <scheme val="minor"/>
    </font>
    <font>
      <b/>
      <sz val="11"/>
      <color rgb="FF329664"/>
      <name val="Calibri"/>
      <family val="2"/>
      <scheme val="minor"/>
    </font>
    <font>
      <b/>
      <sz val="11"/>
      <color rgb="FF0000C0"/>
      <name val="Calibri"/>
      <family val="2"/>
      <scheme val="minor"/>
    </font>
    <font>
      <sz val="11"/>
      <name val="Calibri"/>
      <family val="2"/>
      <scheme val="minor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sz val="11"/>
      <color theme="0"/>
      <name val="Calibri"/>
      <family val="2"/>
    </font>
    <font>
      <sz val="9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0" tint="-0.499984740745262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5F2FF"/>
        <bgColor indexed="64"/>
      </patternFill>
    </fill>
    <fill>
      <patternFill patternType="solid">
        <fgColor rgb="FFFFFACD"/>
        <bgColor indexed="64"/>
      </patternFill>
    </fill>
    <fill>
      <patternFill patternType="lightTrellis">
        <fgColor rgb="FFAFAFAF"/>
        <bgColor rgb="FFEBEBEB"/>
      </patternFill>
    </fill>
    <fill>
      <patternFill patternType="solid">
        <fgColor rgb="FFEBEBE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14996795556505021"/>
      </bottom>
      <diagonal/>
    </border>
    <border>
      <left/>
      <right style="thin">
        <color theme="0" tint="-0.249977111117893"/>
      </right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/>
      <diagonal/>
    </border>
    <border>
      <left/>
      <right/>
      <top/>
      <bottom style="thick">
        <color rgb="FF0296DF"/>
      </bottom>
      <diagonal/>
    </border>
  </borders>
  <cellStyleXfs count="29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2" fillId="4" borderId="1">
      <alignment horizontal="left" vertical="center"/>
    </xf>
    <xf numFmtId="0" fontId="13" fillId="5" borderId="1">
      <alignment horizontal="left" vertical="center"/>
    </xf>
    <xf numFmtId="0" fontId="13" fillId="6" borderId="1">
      <alignment horizontal="left" vertical="center"/>
    </xf>
    <xf numFmtId="0" fontId="15" fillId="4" borderId="1">
      <alignment horizontal="center" vertical="center"/>
    </xf>
    <xf numFmtId="0" fontId="12" fillId="4" borderId="1">
      <alignment horizontal="center" vertical="center"/>
    </xf>
    <xf numFmtId="0" fontId="13" fillId="5" borderId="1">
      <alignment horizontal="center" vertical="center"/>
    </xf>
    <xf numFmtId="0" fontId="13" fillId="6" borderId="1">
      <alignment horizontal="center" vertical="center"/>
    </xf>
    <xf numFmtId="0" fontId="15" fillId="4" borderId="1">
      <alignment horizontal="center" vertical="center"/>
    </xf>
    <xf numFmtId="0" fontId="16" fillId="0" borderId="1">
      <alignment horizontal="right" vertical="center"/>
    </xf>
    <xf numFmtId="0" fontId="16" fillId="7" borderId="1">
      <alignment horizontal="right" vertical="center"/>
    </xf>
    <xf numFmtId="0" fontId="16" fillId="0" borderId="1">
      <alignment horizontal="center" vertical="center"/>
    </xf>
    <xf numFmtId="0" fontId="15" fillId="5" borderId="1"/>
    <xf numFmtId="0" fontId="15" fillId="0" borderId="1">
      <alignment horizontal="center" vertical="center" wrapText="1"/>
    </xf>
    <xf numFmtId="0" fontId="15" fillId="6" borderId="1"/>
    <xf numFmtId="0" fontId="12" fillId="0" borderId="1">
      <alignment horizontal="left" vertical="center"/>
    </xf>
    <xf numFmtId="0" fontId="12" fillId="0" borderId="1">
      <alignment horizontal="left" vertical="top"/>
    </xf>
    <xf numFmtId="0" fontId="12" fillId="4" borderId="1">
      <alignment horizontal="center" vertical="center"/>
    </xf>
    <xf numFmtId="0" fontId="12" fillId="4" borderId="1">
      <alignment horizontal="left" vertical="center"/>
    </xf>
    <xf numFmtId="0" fontId="16" fillId="0" borderId="1">
      <alignment horizontal="right" vertical="center"/>
    </xf>
    <xf numFmtId="0" fontId="16" fillId="0" borderId="1">
      <alignment horizontal="right" vertical="center"/>
    </xf>
    <xf numFmtId="0" fontId="17" fillId="4" borderId="1">
      <alignment horizontal="left" vertical="center" indent="1"/>
    </xf>
    <xf numFmtId="0" fontId="12" fillId="8" borderId="1"/>
    <xf numFmtId="0" fontId="18" fillId="0" borderId="1"/>
    <xf numFmtId="0" fontId="19" fillId="0" borderId="1"/>
    <xf numFmtId="0" fontId="16" fillId="9" borderId="1"/>
    <xf numFmtId="0" fontId="16" fillId="3" borderId="1"/>
  </cellStyleXfs>
  <cellXfs count="152">
    <xf numFmtId="0" fontId="0" fillId="0" borderId="0" xfId="0"/>
    <xf numFmtId="0" fontId="0" fillId="0" borderId="0" xfId="0" applyBorder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/>
    <xf numFmtId="49" fontId="1" fillId="0" borderId="0" xfId="0" applyNumberFormat="1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6" fillId="0" borderId="0" xfId="0" applyFont="1" applyAlignment="1"/>
    <xf numFmtId="2" fontId="6" fillId="0" borderId="0" xfId="0" applyNumberFormat="1" applyFont="1"/>
    <xf numFmtId="0" fontId="8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7" fillId="0" borderId="0" xfId="0" applyFont="1" applyFill="1" applyBorder="1"/>
    <xf numFmtId="0" fontId="0" fillId="0" borderId="0" xfId="0" applyFill="1"/>
    <xf numFmtId="49" fontId="0" fillId="0" borderId="0" xfId="0" quotePrefix="1" applyNumberFormat="1"/>
    <xf numFmtId="0" fontId="0" fillId="0" borderId="0" xfId="0" quotePrefix="1"/>
    <xf numFmtId="0" fontId="6" fillId="0" borderId="0" xfId="0" quotePrefix="1" applyFont="1" applyAlignment="1"/>
    <xf numFmtId="0" fontId="21" fillId="0" borderId="0" xfId="0" applyFont="1" applyFill="1" applyBorder="1" applyAlignment="1">
      <alignment vertical="center"/>
    </xf>
    <xf numFmtId="0" fontId="14" fillId="0" borderId="0" xfId="0" applyFont="1"/>
    <xf numFmtId="0" fontId="5" fillId="0" borderId="0" xfId="0" quotePrefix="1" applyFont="1"/>
    <xf numFmtId="0" fontId="20" fillId="0" borderId="0" xfId="0" applyFont="1" applyFill="1" applyBorder="1"/>
    <xf numFmtId="0" fontId="20" fillId="0" borderId="0" xfId="0" applyFont="1" applyBorder="1"/>
    <xf numFmtId="0" fontId="14" fillId="0" borderId="0" xfId="0" applyFont="1" applyFill="1" applyBorder="1"/>
    <xf numFmtId="0" fontId="21" fillId="0" borderId="0" xfId="0" applyFont="1" applyBorder="1" applyAlignment="1">
      <alignment vertical="center"/>
    </xf>
    <xf numFmtId="0" fontId="22" fillId="0" borderId="0" xfId="0" applyFont="1" applyFill="1" applyBorder="1" applyAlignment="1">
      <alignment horizontal="center" vertical="center"/>
    </xf>
    <xf numFmtId="49" fontId="21" fillId="0" borderId="0" xfId="0" applyNumberFormat="1" applyFont="1" applyFill="1" applyBorder="1" applyAlignment="1">
      <alignment horizontal="center" vertical="center"/>
    </xf>
    <xf numFmtId="0" fontId="21" fillId="0" borderId="0" xfId="0" applyFont="1" applyBorder="1"/>
    <xf numFmtId="166" fontId="21" fillId="0" borderId="0" xfId="0" applyNumberFormat="1" applyFont="1" applyFill="1" applyBorder="1" applyAlignment="1">
      <alignment horizontal="left"/>
    </xf>
    <xf numFmtId="165" fontId="21" fillId="0" borderId="0" xfId="1" applyNumberFormat="1" applyFont="1" applyFill="1" applyBorder="1"/>
    <xf numFmtId="0" fontId="21" fillId="0" borderId="0" xfId="0" applyFont="1" applyFill="1" applyBorder="1"/>
    <xf numFmtId="49" fontId="21" fillId="0" borderId="0" xfId="0" applyNumberFormat="1" applyFont="1" applyFill="1" applyBorder="1" applyAlignment="1">
      <alignment horizontal="left" indent="2"/>
    </xf>
    <xf numFmtId="167" fontId="24" fillId="0" borderId="0" xfId="0" applyNumberFormat="1" applyFont="1" applyFill="1" applyBorder="1" applyAlignment="1" applyProtection="1">
      <alignment horizontal="left" vertical="center"/>
    </xf>
    <xf numFmtId="167" fontId="24" fillId="0" borderId="0" xfId="0" applyNumberFormat="1" applyFont="1" applyFill="1" applyBorder="1" applyAlignment="1" applyProtection="1">
      <alignment horizontal="left" vertical="center" indent="2"/>
    </xf>
    <xf numFmtId="49" fontId="24" fillId="0" borderId="0" xfId="0" applyNumberFormat="1" applyFont="1" applyFill="1" applyBorder="1" applyAlignment="1" applyProtection="1">
      <alignment horizontal="left" vertical="center"/>
    </xf>
    <xf numFmtId="49" fontId="24" fillId="0" borderId="0" xfId="0" applyNumberFormat="1" applyFont="1" applyFill="1" applyBorder="1" applyAlignment="1" applyProtection="1">
      <alignment horizontal="left" vertical="center" indent="3"/>
    </xf>
    <xf numFmtId="0" fontId="9" fillId="11" borderId="0" xfId="0" applyFont="1" applyFill="1" applyBorder="1" applyAlignment="1">
      <alignment vertical="center"/>
    </xf>
    <xf numFmtId="49" fontId="23" fillId="0" borderId="0" xfId="0" applyNumberFormat="1" applyFont="1" applyFill="1" applyBorder="1" applyAlignment="1" applyProtection="1">
      <alignment horizontal="left" vertical="center" indent="3"/>
    </xf>
    <xf numFmtId="0" fontId="5" fillId="0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/>
    </xf>
    <xf numFmtId="165" fontId="24" fillId="0" borderId="0" xfId="0" applyNumberFormat="1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>
      <alignment vertical="center"/>
    </xf>
    <xf numFmtId="169" fontId="24" fillId="0" borderId="0" xfId="0" applyNumberFormat="1" applyFont="1" applyFill="1" applyBorder="1" applyAlignment="1" applyProtection="1">
      <alignment horizontal="right" vertical="center"/>
      <protection locked="0"/>
    </xf>
    <xf numFmtId="0" fontId="29" fillId="0" borderId="0" xfId="0" applyFont="1" applyFill="1" applyBorder="1"/>
    <xf numFmtId="166" fontId="27" fillId="0" borderId="0" xfId="0" applyNumberFormat="1" applyFont="1" applyFill="1" applyBorder="1" applyAlignment="1">
      <alignment horizontal="left"/>
    </xf>
    <xf numFmtId="0" fontId="14" fillId="13" borderId="0" xfId="0" applyFont="1" applyFill="1" applyBorder="1"/>
    <xf numFmtId="49" fontId="23" fillId="12" borderId="5" xfId="0" applyNumberFormat="1" applyFont="1" applyFill="1" applyBorder="1" applyAlignment="1">
      <alignment horizontal="center" vertical="center"/>
    </xf>
    <xf numFmtId="49" fontId="23" fillId="12" borderId="8" xfId="0" applyNumberFormat="1" applyFont="1" applyFill="1" applyBorder="1" applyAlignment="1">
      <alignment horizontal="center" vertical="center"/>
    </xf>
    <xf numFmtId="49" fontId="23" fillId="12" borderId="4" xfId="0" applyNumberFormat="1" applyFont="1" applyFill="1" applyBorder="1" applyAlignment="1">
      <alignment horizontal="center" vertical="center"/>
    </xf>
    <xf numFmtId="166" fontId="27" fillId="0" borderId="9" xfId="0" applyNumberFormat="1" applyFont="1" applyFill="1" applyBorder="1" applyAlignment="1">
      <alignment horizontal="left"/>
    </xf>
    <xf numFmtId="166" fontId="27" fillId="0" borderId="10" xfId="0" applyNumberFormat="1" applyFont="1" applyFill="1" applyBorder="1" applyAlignment="1">
      <alignment horizontal="left"/>
    </xf>
    <xf numFmtId="0" fontId="6" fillId="0" borderId="0" xfId="0" applyFont="1" applyBorder="1"/>
    <xf numFmtId="0" fontId="30" fillId="0" borderId="0" xfId="0" applyFont="1"/>
    <xf numFmtId="0" fontId="26" fillId="10" borderId="13" xfId="0" applyFont="1" applyFill="1" applyBorder="1" applyAlignment="1">
      <alignment horizontal="center" vertical="center"/>
    </xf>
    <xf numFmtId="0" fontId="26" fillId="10" borderId="6" xfId="0" applyFont="1" applyFill="1" applyBorder="1" applyAlignment="1">
      <alignment horizontal="center" vertical="center"/>
    </xf>
    <xf numFmtId="0" fontId="26" fillId="10" borderId="14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2" fillId="0" borderId="0" xfId="0" applyNumberFormat="1" applyFont="1" applyFill="1" applyBorder="1" applyAlignment="1" applyProtection="1">
      <alignment horizontal="left" vertical="center" indent="3"/>
    </xf>
    <xf numFmtId="49" fontId="32" fillId="0" borderId="0" xfId="0" applyNumberFormat="1" applyFont="1" applyFill="1" applyBorder="1" applyAlignment="1" applyProtection="1">
      <alignment horizontal="left" vertical="center" indent="3"/>
    </xf>
    <xf numFmtId="37" fontId="24" fillId="0" borderId="0" xfId="0" applyNumberFormat="1" applyFont="1" applyFill="1" applyBorder="1" applyAlignment="1" applyProtection="1">
      <alignment horizontal="right" vertical="center"/>
      <protection locked="0"/>
    </xf>
    <xf numFmtId="0" fontId="31" fillId="0" borderId="0" xfId="0" applyNumberFormat="1" applyFont="1" applyFill="1" applyBorder="1" applyAlignment="1" applyProtection="1">
      <alignment horizontal="left" vertical="center" indent="3"/>
    </xf>
    <xf numFmtId="37" fontId="23" fillId="0" borderId="0" xfId="0" applyNumberFormat="1" applyFont="1" applyFill="1" applyBorder="1" applyAlignment="1" applyProtection="1">
      <alignment horizontal="right" vertical="center"/>
      <protection locked="0"/>
    </xf>
    <xf numFmtId="0" fontId="31" fillId="0" borderId="0" xfId="0" applyNumberFormat="1" applyFont="1" applyFill="1" applyBorder="1" applyAlignment="1" applyProtection="1">
      <alignment vertical="center"/>
    </xf>
    <xf numFmtId="165" fontId="24" fillId="0" borderId="0" xfId="0" applyNumberFormat="1" applyFont="1" applyFill="1" applyBorder="1" applyAlignment="1" applyProtection="1">
      <alignment horizontal="right" vertical="center"/>
      <protection locked="0"/>
    </xf>
    <xf numFmtId="43" fontId="24" fillId="0" borderId="0" xfId="1" applyFont="1" applyFill="1" applyBorder="1" applyAlignment="1" applyProtection="1">
      <alignment horizontal="right" vertical="center"/>
      <protection locked="0"/>
    </xf>
    <xf numFmtId="0" fontId="26" fillId="10" borderId="0" xfId="0" applyFont="1" applyFill="1" applyBorder="1" applyAlignment="1">
      <alignment horizontal="center" vertical="center"/>
    </xf>
    <xf numFmtId="0" fontId="26" fillId="10" borderId="12" xfId="0" applyFont="1" applyFill="1" applyBorder="1" applyAlignment="1">
      <alignment horizontal="center" vertical="center"/>
    </xf>
    <xf numFmtId="0" fontId="26" fillId="10" borderId="0" xfId="0" applyFont="1" applyFill="1" applyBorder="1" applyAlignment="1">
      <alignment horizontal="center" vertical="center"/>
    </xf>
    <xf numFmtId="0" fontId="26" fillId="10" borderId="12" xfId="0" applyFont="1" applyFill="1" applyBorder="1" applyAlignment="1">
      <alignment horizontal="center" vertical="center"/>
    </xf>
    <xf numFmtId="0" fontId="26" fillId="10" borderId="11" xfId="0" applyFont="1" applyFill="1" applyBorder="1" applyAlignment="1">
      <alignment horizontal="center" vertical="center"/>
    </xf>
    <xf numFmtId="165" fontId="24" fillId="0" borderId="0" xfId="0" applyNumberFormat="1" applyFont="1" applyFill="1" applyBorder="1" applyAlignment="1" applyProtection="1">
      <alignment horizontal="right" vertical="center"/>
      <protection locked="0"/>
    </xf>
    <xf numFmtId="0" fontId="23" fillId="0" borderId="18" xfId="0" applyNumberFormat="1" applyFont="1" applyFill="1" applyBorder="1" applyAlignment="1" applyProtection="1">
      <alignment horizontal="center" vertical="center"/>
    </xf>
    <xf numFmtId="0" fontId="33" fillId="0" borderId="0" xfId="0" applyFont="1" applyBorder="1" applyAlignment="1">
      <alignment horizontal="center" vertical="center"/>
    </xf>
    <xf numFmtId="165" fontId="24" fillId="0" borderId="0" xfId="0" applyNumberFormat="1" applyFont="1" applyFill="1" applyBorder="1" applyAlignment="1" applyProtection="1">
      <alignment horizontal="right" vertical="center"/>
    </xf>
    <xf numFmtId="0" fontId="23" fillId="0" borderId="18" xfId="0" applyNumberFormat="1" applyFont="1" applyFill="1" applyBorder="1" applyAlignment="1" applyProtection="1">
      <alignment horizontal="left" vertical="center"/>
    </xf>
    <xf numFmtId="43" fontId="23" fillId="12" borderId="0" xfId="1" applyFont="1" applyFill="1" applyBorder="1" applyAlignment="1" applyProtection="1">
      <alignment vertical="center"/>
    </xf>
    <xf numFmtId="165" fontId="23" fillId="12" borderId="0" xfId="0" applyNumberFormat="1" applyFont="1" applyFill="1" applyBorder="1" applyAlignment="1" applyProtection="1">
      <alignment vertical="center"/>
    </xf>
    <xf numFmtId="169" fontId="23" fillId="12" borderId="0" xfId="0" applyNumberFormat="1" applyFont="1" applyFill="1" applyBorder="1" applyAlignment="1" applyProtection="1">
      <alignment vertical="center"/>
    </xf>
    <xf numFmtId="170" fontId="24" fillId="0" borderId="0" xfId="1" applyNumberFormat="1" applyFont="1" applyFill="1" applyBorder="1" applyAlignment="1" applyProtection="1">
      <alignment vertical="center"/>
    </xf>
    <xf numFmtId="38" fontId="24" fillId="0" borderId="0" xfId="1" applyNumberFormat="1" applyFont="1" applyFill="1" applyBorder="1" applyAlignment="1" applyProtection="1">
      <alignment vertical="center"/>
    </xf>
    <xf numFmtId="169" fontId="24" fillId="0" borderId="0" xfId="1" applyNumberFormat="1" applyFont="1" applyFill="1" applyBorder="1" applyAlignment="1" applyProtection="1">
      <alignment vertical="center"/>
    </xf>
    <xf numFmtId="0" fontId="36" fillId="0" borderId="0" xfId="0" applyFont="1" applyFill="1" applyBorder="1"/>
    <xf numFmtId="168" fontId="25" fillId="0" borderId="0" xfId="2" applyNumberFormat="1" applyFont="1" applyFill="1" applyBorder="1"/>
    <xf numFmtId="43" fontId="25" fillId="0" borderId="0" xfId="1" applyFont="1" applyFill="1" applyBorder="1"/>
    <xf numFmtId="0" fontId="33" fillId="0" borderId="0" xfId="0" applyFont="1" applyFill="1" applyBorder="1" applyAlignment="1">
      <alignment horizontal="center" vertical="center"/>
    </xf>
    <xf numFmtId="164" fontId="24" fillId="0" borderId="0" xfId="1" applyNumberFormat="1" applyFont="1" applyFill="1" applyBorder="1" applyAlignment="1">
      <alignment vertical="center"/>
    </xf>
    <xf numFmtId="164" fontId="23" fillId="0" borderId="9" xfId="1" applyNumberFormat="1" applyFont="1" applyFill="1" applyBorder="1" applyAlignment="1">
      <alignment vertical="center"/>
    </xf>
    <xf numFmtId="164" fontId="23" fillId="0" borderId="0" xfId="1" applyNumberFormat="1" applyFont="1" applyFill="1" applyBorder="1" applyAlignment="1">
      <alignment vertical="center"/>
    </xf>
    <xf numFmtId="164" fontId="23" fillId="0" borderId="10" xfId="1" applyNumberFormat="1" applyFont="1" applyFill="1" applyBorder="1" applyAlignment="1">
      <alignment vertical="center"/>
    </xf>
    <xf numFmtId="166" fontId="23" fillId="12" borderId="9" xfId="0" applyNumberFormat="1" applyFont="1" applyFill="1" applyBorder="1" applyAlignment="1">
      <alignment horizontal="left" vertical="center" indent="2"/>
    </xf>
    <xf numFmtId="167" fontId="24" fillId="12" borderId="0" xfId="0" applyNumberFormat="1" applyFont="1" applyFill="1" applyBorder="1" applyAlignment="1">
      <alignment horizontal="left" vertical="center" indent="4"/>
    </xf>
    <xf numFmtId="166" fontId="23" fillId="12" borderId="10" xfId="0" applyNumberFormat="1" applyFont="1" applyFill="1" applyBorder="1" applyAlignment="1">
      <alignment horizontal="left" vertical="center" indent="2"/>
    </xf>
    <xf numFmtId="166" fontId="23" fillId="12" borderId="6" xfId="0" applyNumberFormat="1" applyFont="1" applyFill="1" applyBorder="1" applyAlignment="1">
      <alignment horizontal="left" vertical="center"/>
    </xf>
    <xf numFmtId="166" fontId="27" fillId="0" borderId="6" xfId="0" applyNumberFormat="1" applyFont="1" applyFill="1" applyBorder="1" applyAlignment="1">
      <alignment horizontal="left"/>
    </xf>
    <xf numFmtId="164" fontId="23" fillId="0" borderId="6" xfId="1" applyNumberFormat="1" applyFont="1" applyFill="1" applyBorder="1" applyAlignment="1">
      <alignment vertical="center"/>
    </xf>
    <xf numFmtId="49" fontId="23" fillId="14" borderId="7" xfId="0" applyNumberFormat="1" applyFont="1" applyFill="1" applyBorder="1" applyAlignment="1" applyProtection="1">
      <alignment horizontal="left" vertical="center"/>
    </xf>
    <xf numFmtId="165" fontId="23" fillId="14" borderId="7" xfId="1" applyNumberFormat="1" applyFont="1" applyFill="1" applyBorder="1" applyAlignment="1" applyProtection="1">
      <alignment horizontal="right" vertical="center"/>
    </xf>
    <xf numFmtId="0" fontId="23" fillId="0" borderId="18" xfId="0" applyNumberFormat="1" applyFont="1" applyFill="1" applyBorder="1" applyAlignment="1" applyProtection="1">
      <alignment horizontal="center" vertical="center"/>
    </xf>
    <xf numFmtId="0" fontId="23" fillId="12" borderId="18" xfId="0" applyNumberFormat="1" applyFont="1" applyFill="1" applyBorder="1" applyAlignment="1" applyProtection="1">
      <alignment horizontal="center" vertical="center"/>
    </xf>
    <xf numFmtId="166" fontId="23" fillId="14" borderId="0" xfId="0" applyNumberFormat="1" applyFont="1" applyFill="1" applyBorder="1" applyAlignment="1" applyProtection="1">
      <alignment horizontal="left" vertical="center"/>
    </xf>
    <xf numFmtId="165" fontId="24" fillId="14" borderId="0" xfId="0" applyNumberFormat="1" applyFont="1" applyFill="1" applyBorder="1" applyAlignment="1" applyProtection="1">
      <alignment horizontal="right" vertical="center"/>
    </xf>
    <xf numFmtId="0" fontId="23" fillId="14" borderId="0" xfId="0" applyNumberFormat="1" applyFont="1" applyFill="1" applyBorder="1" applyAlignment="1" applyProtection="1">
      <alignment horizontal="left" vertical="center"/>
    </xf>
    <xf numFmtId="0" fontId="23" fillId="12" borderId="0" xfId="0" applyNumberFormat="1" applyFont="1" applyFill="1" applyBorder="1" applyAlignment="1" applyProtection="1">
      <alignment horizontal="left" vertical="center"/>
    </xf>
    <xf numFmtId="165" fontId="24" fillId="12" borderId="0" xfId="0" applyNumberFormat="1" applyFont="1" applyFill="1" applyBorder="1" applyAlignment="1" applyProtection="1">
      <alignment horizontal="right" vertical="center"/>
    </xf>
    <xf numFmtId="166" fontId="23" fillId="12" borderId="0" xfId="0" applyNumberFormat="1" applyFont="1" applyFill="1" applyBorder="1" applyAlignment="1" applyProtection="1">
      <alignment horizontal="left" vertical="center" indent="1"/>
    </xf>
    <xf numFmtId="0" fontId="23" fillId="0" borderId="0" xfId="0" applyNumberFormat="1" applyFont="1" applyFill="1" applyBorder="1" applyAlignment="1">
      <alignment horizontal="center"/>
    </xf>
    <xf numFmtId="165" fontId="23" fillId="14" borderId="0" xfId="0" applyNumberFormat="1" applyFont="1" applyFill="1" applyBorder="1" applyAlignment="1" applyProtection="1">
      <alignment horizontal="right" vertical="center"/>
    </xf>
    <xf numFmtId="165" fontId="23" fillId="12" borderId="0" xfId="0" applyNumberFormat="1" applyFont="1" applyFill="1" applyBorder="1" applyAlignment="1" applyProtection="1">
      <alignment horizontal="right" vertical="center"/>
    </xf>
    <xf numFmtId="165" fontId="23" fillId="0" borderId="0" xfId="0" applyNumberFormat="1" applyFont="1" applyFill="1" applyBorder="1" applyAlignment="1" applyProtection="1">
      <alignment horizontal="right" vertical="center"/>
    </xf>
    <xf numFmtId="165" fontId="23" fillId="0" borderId="0" xfId="0" applyNumberFormat="1" applyFont="1" applyFill="1" applyBorder="1" applyAlignment="1" applyProtection="1">
      <alignment vertical="center"/>
    </xf>
    <xf numFmtId="0" fontId="23" fillId="0" borderId="0" xfId="0" applyFont="1" applyFill="1" applyBorder="1" applyAlignment="1">
      <alignment vertical="center"/>
    </xf>
    <xf numFmtId="0" fontId="23" fillId="0" borderId="0" xfId="0" applyFont="1" applyFill="1" applyAlignment="1">
      <alignment vertical="center"/>
    </xf>
    <xf numFmtId="0" fontId="26" fillId="10" borderId="0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3" fillId="0" borderId="18" xfId="0" applyNumberFormat="1" applyFont="1" applyFill="1" applyBorder="1" applyAlignment="1" applyProtection="1">
      <alignment horizontal="center" vertical="center"/>
    </xf>
    <xf numFmtId="0" fontId="28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6" fillId="10" borderId="12" xfId="0" applyFont="1" applyFill="1" applyBorder="1" applyAlignment="1">
      <alignment horizontal="center" vertical="center"/>
    </xf>
    <xf numFmtId="0" fontId="26" fillId="10" borderId="1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3" fontId="33" fillId="0" borderId="0" xfId="0" applyNumberFormat="1" applyFont="1" applyFill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164" fontId="23" fillId="0" borderId="0" xfId="1" applyNumberFormat="1" applyFont="1" applyFill="1" applyBorder="1" applyAlignment="1">
      <alignment horizontal="center"/>
    </xf>
    <xf numFmtId="0" fontId="3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9" fontId="24" fillId="0" borderId="0" xfId="0" applyNumberFormat="1" applyFont="1" applyFill="1" applyBorder="1" applyAlignment="1" applyProtection="1">
      <alignment horizontal="right" vertical="center"/>
      <protection locked="0"/>
    </xf>
    <xf numFmtId="169" fontId="0" fillId="0" borderId="0" xfId="0" applyNumberFormat="1" applyBorder="1" applyAlignment="1"/>
    <xf numFmtId="43" fontId="24" fillId="0" borderId="0" xfId="1" applyFont="1" applyFill="1" applyBorder="1" applyAlignment="1" applyProtection="1">
      <alignment horizontal="right" vertical="center"/>
      <protection locked="0"/>
    </xf>
    <xf numFmtId="43" fontId="0" fillId="0" borderId="0" xfId="1" applyFont="1" applyBorder="1" applyAlignment="1"/>
    <xf numFmtId="165" fontId="24" fillId="0" borderId="0" xfId="0" applyNumberFormat="1" applyFont="1" applyFill="1" applyBorder="1" applyAlignment="1" applyProtection="1">
      <alignment horizontal="right" vertical="center"/>
      <protection locked="0"/>
    </xf>
    <xf numFmtId="0" fontId="0" fillId="0" borderId="0" xfId="0" applyBorder="1" applyAlignment="1"/>
    <xf numFmtId="169" fontId="24" fillId="0" borderId="0" xfId="1" applyNumberFormat="1" applyFont="1" applyFill="1" applyBorder="1" applyAlignment="1" applyProtection="1">
      <alignment vertical="center"/>
    </xf>
    <xf numFmtId="169" fontId="34" fillId="0" borderId="0" xfId="0" applyNumberFormat="1" applyFont="1" applyBorder="1" applyAlignment="1">
      <alignment vertical="center"/>
    </xf>
    <xf numFmtId="170" fontId="24" fillId="0" borderId="0" xfId="1" applyNumberFormat="1" applyFont="1" applyFill="1" applyBorder="1" applyAlignment="1" applyProtection="1">
      <alignment vertical="center"/>
    </xf>
    <xf numFmtId="170" fontId="34" fillId="0" borderId="0" xfId="0" applyNumberFormat="1" applyFont="1" applyBorder="1" applyAlignment="1">
      <alignment vertical="center"/>
    </xf>
    <xf numFmtId="38" fontId="24" fillId="0" borderId="0" xfId="1" applyNumberFormat="1" applyFont="1" applyFill="1" applyBorder="1" applyAlignment="1" applyProtection="1">
      <alignment vertical="center"/>
    </xf>
    <xf numFmtId="38" fontId="34" fillId="0" borderId="0" xfId="0" applyNumberFormat="1" applyFont="1" applyBorder="1" applyAlignment="1">
      <alignment vertical="center"/>
    </xf>
    <xf numFmtId="0" fontId="35" fillId="0" borderId="0" xfId="0" applyFont="1" applyFill="1" applyAlignment="1">
      <alignment vertical="center"/>
    </xf>
    <xf numFmtId="49" fontId="23" fillId="12" borderId="16" xfId="0" applyNumberFormat="1" applyFont="1" applyFill="1" applyBorder="1" applyAlignment="1">
      <alignment horizontal="center" vertical="center"/>
    </xf>
    <xf numFmtId="49" fontId="23" fillId="12" borderId="17" xfId="0" applyNumberFormat="1" applyFont="1" applyFill="1" applyBorder="1" applyAlignment="1">
      <alignment horizontal="center" vertical="center"/>
    </xf>
    <xf numFmtId="49" fontId="23" fillId="12" borderId="15" xfId="0" applyNumberFormat="1" applyFont="1" applyFill="1" applyBorder="1" applyAlignment="1">
      <alignment horizontal="center" vertical="center"/>
    </xf>
  </cellXfs>
  <cellStyles count="29">
    <cellStyle name="Calculated Column - IBM Cognos" xfId="21"/>
    <cellStyle name="Calculated Column Name - IBM Cognos" xfId="19"/>
    <cellStyle name="Calculated Row - IBM Cognos" xfId="22"/>
    <cellStyle name="Calculated Row Name - IBM Cognos" xfId="20"/>
    <cellStyle name="Column Name - IBM Cognos" xfId="7"/>
    <cellStyle name="Column Template - IBM Cognos" xfId="10"/>
    <cellStyle name="Comma" xfId="1" builtinId="3"/>
    <cellStyle name="Differs From Base - IBM Cognos" xfId="28"/>
    <cellStyle name="Group Name - IBM Cognos" xfId="18"/>
    <cellStyle name="Hold Values - IBM Cognos" xfId="24"/>
    <cellStyle name="List Name - IBM Cognos" xfId="17"/>
    <cellStyle name="Locked - IBM Cognos" xfId="27"/>
    <cellStyle name="Measure - IBM Cognos" xfId="11"/>
    <cellStyle name="Measure Header - IBM Cognos" xfId="12"/>
    <cellStyle name="Measure Name - IBM Cognos" xfId="13"/>
    <cellStyle name="Measure Summary - IBM Cognos" xfId="14"/>
    <cellStyle name="Measure Summary TM1 - IBM Cognos" xfId="16"/>
    <cellStyle name="Measure Template - IBM Cognos" xfId="15"/>
    <cellStyle name="More - IBM Cognos" xfId="23"/>
    <cellStyle name="Normal" xfId="0" builtinId="0"/>
    <cellStyle name="Pending Change - IBM Cognos" xfId="25"/>
    <cellStyle name="Percent" xfId="2" builtinId="5"/>
    <cellStyle name="Row Name - IBM Cognos" xfId="3"/>
    <cellStyle name="Row Template - IBM Cognos" xfId="6"/>
    <cellStyle name="Summary Column Name - IBM Cognos" xfId="8"/>
    <cellStyle name="Summary Column Name TM1 - IBM Cognos" xfId="9"/>
    <cellStyle name="Summary Row Name - IBM Cognos" xfId="4"/>
    <cellStyle name="Summary Row Name TM1 - IBM Cognos" xfId="5"/>
    <cellStyle name="Unsaved Change - IBM Cognos" xfId="2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A589C"/>
      <rgbColor rgb="00888FAC"/>
      <rgbColor rgb="000000FF"/>
      <rgbColor rgb="00830E17"/>
      <rgbColor rgb="00CDB79E"/>
      <rgbColor rgb="0095B3D7"/>
      <rgbColor rgb="00800000"/>
      <rgbColor rgb="000F3F6A"/>
      <rgbColor rgb="00000080"/>
      <rgbColor rgb="00808000"/>
      <rgbColor rgb="00800080"/>
      <rgbColor rgb="00DBE5F1"/>
      <rgbColor rgb="FFDFDFD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FFBDD6E7"/>
      <rgbColor rgb="00F8F8F8"/>
      <rgbColor rgb="00B7D2EC"/>
      <rgbColor rgb="00E7E5E5"/>
      <rgbColor rgb="003366FF"/>
      <rgbColor rgb="00B8CCE4"/>
      <rgbColor rgb="00E5E5E5"/>
      <rgbColor rgb="00B6DDF1"/>
      <rgbColor rgb="0099AACC"/>
      <rgbColor rgb="00E56565"/>
      <rgbColor rgb="00666699"/>
      <rgbColor rgb="00969696"/>
      <rgbColor rgb="0039CF08"/>
      <rgbColor rgb="00FFFAFA"/>
      <rgbColor rgb="00D6595A"/>
      <rgbColor rgb="00DAD8D8"/>
      <rgbColor rgb="00993300"/>
      <rgbColor rgb="00DFEEFA"/>
      <rgbColor rgb="00333399"/>
      <rgbColor rgb="00333333"/>
    </indexedColors>
    <mruColors>
      <color rgb="FF0296DF"/>
      <color rgb="FFF3AB40"/>
      <color rgb="FF8BC43F"/>
      <color rgb="FF66C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150423689455399E-2"/>
          <c:y val="2.0547209774174759E-2"/>
          <c:w val="0.95401978190542158"/>
          <c:h val="0.82748451111760946"/>
        </c:manualLayout>
      </c:layout>
      <c:lineChart>
        <c:grouping val="standard"/>
        <c:varyColors val="0"/>
        <c:ser>
          <c:idx val="0"/>
          <c:order val="0"/>
          <c:tx>
            <c:strRef>
              <c:f>ProductAdmin!$D$18:$F$18</c:f>
              <c:strCache>
                <c:ptCount val="1"/>
                <c:pt idx="0">
                  <c:v>Like Product Plan</c:v>
                </c:pt>
              </c:strCache>
            </c:strRef>
          </c:tx>
          <c:spPr>
            <a:ln w="76200">
              <a:solidFill>
                <a:srgbClr val="0296DF"/>
              </a:solidFill>
            </a:ln>
          </c:spPr>
          <c:marker>
            <c:symbol val="none"/>
          </c:marker>
          <c:cat>
            <c:strRef>
              <c:f>ProductAdmin!$H$17:$S$17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ProductAdmin!$H$18:$S$18</c:f>
              <c:numCache>
                <c:formatCode>#,##0_);\(#,##0\)</c:formatCode>
                <c:ptCount val="12"/>
                <c:pt idx="0">
                  <c:v>791.8007170897381</c:v>
                </c:pt>
                <c:pt idx="1">
                  <c:v>1035.4862215646961</c:v>
                </c:pt>
                <c:pt idx="2">
                  <c:v>1325.9320198403507</c:v>
                </c:pt>
                <c:pt idx="3">
                  <c:v>866.16500508196714</c:v>
                </c:pt>
                <c:pt idx="4">
                  <c:v>1415.428925944881</c:v>
                </c:pt>
                <c:pt idx="5">
                  <c:v>814.88625043291347</c:v>
                </c:pt>
                <c:pt idx="6">
                  <c:v>813.51285818136557</c:v>
                </c:pt>
                <c:pt idx="7">
                  <c:v>818.2801773208156</c:v>
                </c:pt>
                <c:pt idx="8">
                  <c:v>878.11818806102883</c:v>
                </c:pt>
                <c:pt idx="9">
                  <c:v>823.06081000463269</c:v>
                </c:pt>
                <c:pt idx="10">
                  <c:v>813.79692029542559</c:v>
                </c:pt>
                <c:pt idx="11">
                  <c:v>720.07802766492819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ProductAdmin!$D$19:$F$19</c:f>
              <c:strCache>
                <c:ptCount val="1"/>
                <c:pt idx="0">
                  <c:v>Predicted Plan</c:v>
                </c:pt>
              </c:strCache>
            </c:strRef>
          </c:tx>
          <c:spPr>
            <a:ln w="76200">
              <a:solidFill>
                <a:srgbClr val="F6AD40"/>
              </a:solidFill>
            </a:ln>
          </c:spPr>
          <c:marker>
            <c:symbol val="none"/>
          </c:marker>
          <c:cat>
            <c:strRef>
              <c:f>ProductAdmin!$H$17:$S$17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ProductAdmin!$H$19:$S$19</c:f>
              <c:numCache>
                <c:formatCode>#,##0_);\(#,##0\)</c:formatCode>
                <c:ptCount val="12"/>
                <c:pt idx="0">
                  <c:v>21</c:v>
                </c:pt>
                <c:pt idx="1">
                  <c:v>219</c:v>
                </c:pt>
                <c:pt idx="2">
                  <c:v>193</c:v>
                </c:pt>
                <c:pt idx="3">
                  <c:v>149</c:v>
                </c:pt>
                <c:pt idx="4">
                  <c:v>156</c:v>
                </c:pt>
                <c:pt idx="5">
                  <c:v>156</c:v>
                </c:pt>
                <c:pt idx="6">
                  <c:v>156</c:v>
                </c:pt>
                <c:pt idx="7">
                  <c:v>83</c:v>
                </c:pt>
                <c:pt idx="8">
                  <c:v>87</c:v>
                </c:pt>
                <c:pt idx="9">
                  <c:v>89</c:v>
                </c:pt>
                <c:pt idx="10">
                  <c:v>91</c:v>
                </c:pt>
                <c:pt idx="11">
                  <c:v>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ProductAdmin!$D$20:$F$20</c:f>
              <c:strCache>
                <c:ptCount val="1"/>
                <c:pt idx="0">
                  <c:v>New Product Plan</c:v>
                </c:pt>
              </c:strCache>
            </c:strRef>
          </c:tx>
          <c:spPr>
            <a:ln w="76200">
              <a:solidFill>
                <a:srgbClr val="8BC53E"/>
              </a:solidFill>
            </a:ln>
          </c:spPr>
          <c:marker>
            <c:symbol val="none"/>
          </c:marker>
          <c:cat>
            <c:strRef>
              <c:f>ProductAdmin!$H$17:$S$17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ProductAdmin!$H$20:$S$20</c:f>
              <c:numCache>
                <c:formatCode>#,##0_);\(#,##0\)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724800"/>
        <c:axId val="184557568"/>
      </c:lineChart>
      <c:catAx>
        <c:axId val="175724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1" i="0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</a:defRPr>
            </a:pPr>
            <a:endParaRPr lang="en-US"/>
          </a:p>
        </c:txPr>
        <c:crossAx val="184557568"/>
        <c:crosses val="autoZero"/>
        <c:auto val="1"/>
        <c:lblAlgn val="ctr"/>
        <c:lblOffset val="100"/>
        <c:noMultiLvlLbl val="0"/>
      </c:catAx>
      <c:valAx>
        <c:axId val="18455756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_);\(#,##0\)" sourceLinked="1"/>
        <c:majorTickMark val="out"/>
        <c:minorTickMark val="none"/>
        <c:tickLblPos val="nextTo"/>
        <c:spPr>
          <a:ln>
            <a:solidFill>
              <a:schemeClr val="bg1">
                <a:lumMod val="50000"/>
              </a:schemeClr>
            </a:solidFill>
          </a:ln>
        </c:spPr>
        <c:txPr>
          <a:bodyPr/>
          <a:lstStyle/>
          <a:p>
            <a:pPr>
              <a:defRPr sz="800" b="1" i="0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</a:defRPr>
            </a:pPr>
            <a:endParaRPr lang="en-US"/>
          </a:p>
        </c:txPr>
        <c:crossAx val="175724800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legend>
      <c:legendPos val="t"/>
      <c:layout/>
      <c:overlay val="0"/>
      <c:txPr>
        <a:bodyPr/>
        <a:lstStyle/>
        <a:p>
          <a:pPr>
            <a:defRPr sz="800" b="1" i="0" baseline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aseline="0"/>
            </a:pPr>
            <a:r>
              <a:rPr lang="en-US" sz="900" baseline="0"/>
              <a:t>Units Sold by Channel</a:t>
            </a:r>
          </a:p>
        </c:rich>
      </c:tx>
      <c:layout>
        <c:manualLayout>
          <c:xMode val="edge"/>
          <c:yMode val="edge"/>
          <c:x val="0.41146711635750421"/>
          <c:y val="4.26540284360189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92580101180438"/>
          <c:y val="9.4787227425955647E-2"/>
          <c:w val="0.78583473861720066"/>
          <c:h val="0.57820004726897289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ChannelDetail!$C$27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rgbClr val="0296DF"/>
            </a:solidFill>
            <a:ln w="25400">
              <a:noFill/>
            </a:ln>
          </c:spPr>
          <c:invertIfNegative val="0"/>
          <c:cat>
            <c:strRef>
              <c:f>ChannelDetail!$E$25:$P$25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ChannelDetail!$E$27:$P$27</c:f>
              <c:numCache>
                <c:formatCode>_(* #,##0_);_(* \(#,##0\);_(* "-"??_);_(@_)</c:formatCode>
                <c:ptCount val="12"/>
                <c:pt idx="0">
                  <c:v>115.92903723383301</c:v>
                </c:pt>
                <c:pt idx="1">
                  <c:v>125.20336021253968</c:v>
                </c:pt>
                <c:pt idx="2">
                  <c:v>135.21962902954289</c:v>
                </c:pt>
                <c:pt idx="3">
                  <c:v>146.03719935190631</c:v>
                </c:pt>
                <c:pt idx="4">
                  <c:v>157.7201753000588</c:v>
                </c:pt>
                <c:pt idx="5">
                  <c:v>170.33778932406352</c:v>
                </c:pt>
                <c:pt idx="6">
                  <c:v>183.9648124699886</c:v>
                </c:pt>
                <c:pt idx="7">
                  <c:v>198.68199746758771</c:v>
                </c:pt>
                <c:pt idx="8">
                  <c:v>214.5765572649947</c:v>
                </c:pt>
                <c:pt idx="9">
                  <c:v>231.74268184619427</c:v>
                </c:pt>
                <c:pt idx="10">
                  <c:v>250.28209639388984</c:v>
                </c:pt>
                <c:pt idx="11">
                  <c:v>270.304664105401</c:v>
                </c:pt>
              </c:numCache>
            </c:numRef>
          </c:val>
        </c:ser>
        <c:ser>
          <c:idx val="2"/>
          <c:order val="1"/>
          <c:tx>
            <c:strRef>
              <c:f>ChannelDetail!$C$28</c:f>
              <c:strCache>
                <c:ptCount val="1"/>
                <c:pt idx="0">
                  <c:v>Internet</c:v>
                </c:pt>
              </c:strCache>
            </c:strRef>
          </c:tx>
          <c:spPr>
            <a:solidFill>
              <a:srgbClr val="F3AB40"/>
            </a:solidFill>
            <a:ln w="25400">
              <a:noFill/>
            </a:ln>
          </c:spPr>
          <c:invertIfNegative val="0"/>
          <c:cat>
            <c:strRef>
              <c:f>ChannelDetail!$E$25:$P$25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ChannelDetail!$E$28:$P$28</c:f>
              <c:numCache>
                <c:formatCode>_(* #,##0_);_(* \(#,##0\);_(* "-"??_);_(@_)</c:formatCode>
                <c:ptCount val="12"/>
                <c:pt idx="0">
                  <c:v>74.716048238148076</c:v>
                </c:pt>
                <c:pt idx="1">
                  <c:v>77.589742401153757</c:v>
                </c:pt>
                <c:pt idx="2">
                  <c:v>80.463436564159466</c:v>
                </c:pt>
                <c:pt idx="3">
                  <c:v>94.831907379187953</c:v>
                </c:pt>
                <c:pt idx="4">
                  <c:v>100.57929570519933</c:v>
                </c:pt>
                <c:pt idx="5">
                  <c:v>106.32668403121073</c:v>
                </c:pt>
                <c:pt idx="6">
                  <c:v>123.56884900924487</c:v>
                </c:pt>
                <c:pt idx="7">
                  <c:v>129.31623733525629</c:v>
                </c:pt>
                <c:pt idx="8">
                  <c:v>135.06362566126765</c:v>
                </c:pt>
                <c:pt idx="9">
                  <c:v>149.43209647629615</c:v>
                </c:pt>
                <c:pt idx="10">
                  <c:v>158.05317896531321</c:v>
                </c:pt>
                <c:pt idx="11">
                  <c:v>163.80056729132463</c:v>
                </c:pt>
              </c:numCache>
            </c:numRef>
          </c:val>
        </c:ser>
        <c:ser>
          <c:idx val="3"/>
          <c:order val="2"/>
          <c:tx>
            <c:strRef>
              <c:f>ChannelDetail!$C$29</c:f>
              <c:strCache>
                <c:ptCount val="1"/>
                <c:pt idx="0">
                  <c:v>Distribution</c:v>
                </c:pt>
              </c:strCache>
            </c:strRef>
          </c:tx>
          <c:spPr>
            <a:solidFill>
              <a:srgbClr val="8BC43F"/>
            </a:solidFill>
            <a:ln w="25400">
              <a:noFill/>
            </a:ln>
          </c:spPr>
          <c:invertIfNegative val="0"/>
          <c:cat>
            <c:strRef>
              <c:f>ChannelDetail!$E$25:$P$25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ChannelDetail!$E$29:$P$29</c:f>
              <c:numCache>
                <c:formatCode>_(* #,##0_);_(* \(#,##0\);_(* "-"??_);_(@_)</c:formatCode>
                <c:ptCount val="12"/>
                <c:pt idx="0">
                  <c:v>74.800000000000011</c:v>
                </c:pt>
                <c:pt idx="1">
                  <c:v>78.100000000000009</c:v>
                </c:pt>
                <c:pt idx="2">
                  <c:v>80.300000000000011</c:v>
                </c:pt>
                <c:pt idx="3">
                  <c:v>94.600000000000009</c:v>
                </c:pt>
                <c:pt idx="4">
                  <c:v>100.10000000000001</c:v>
                </c:pt>
                <c:pt idx="5">
                  <c:v>106.7</c:v>
                </c:pt>
                <c:pt idx="6">
                  <c:v>123.20000000000002</c:v>
                </c:pt>
                <c:pt idx="7">
                  <c:v>129.80000000000001</c:v>
                </c:pt>
                <c:pt idx="8">
                  <c:v>135.30000000000001</c:v>
                </c:pt>
                <c:pt idx="9">
                  <c:v>149.60000000000002</c:v>
                </c:pt>
                <c:pt idx="10">
                  <c:v>158.4</c:v>
                </c:pt>
                <c:pt idx="11">
                  <c:v>163.9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134464"/>
        <c:axId val="119211136"/>
      </c:barChart>
      <c:catAx>
        <c:axId val="18513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19211136"/>
        <c:crosses val="autoZero"/>
        <c:auto val="1"/>
        <c:lblAlgn val="ctr"/>
        <c:lblOffset val="100"/>
        <c:noMultiLvlLbl val="0"/>
      </c:catAx>
      <c:valAx>
        <c:axId val="119211136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95B3D7"/>
            </a:solidFill>
            <a:prstDash val="solid"/>
          </a:ln>
        </c:spPr>
        <c:crossAx val="18513446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2765598650927488"/>
          <c:y val="0.87203990496448602"/>
          <c:w val="0.53906689151208542"/>
          <c:h val="9.9526066350710929E-2"/>
        </c:manualLayout>
      </c:layout>
      <c:overlay val="0"/>
    </c:legend>
    <c:plotVisOnly val="1"/>
    <c:dispBlanksAs val="gap"/>
    <c:showDLblsOverMax val="0"/>
  </c:chart>
  <c:spPr>
    <a:solidFill>
      <a:schemeClr val="bg1">
        <a:lumMod val="95000"/>
      </a:schemeClr>
    </a:solidFill>
    <a:ln w="3175">
      <a:noFill/>
      <a:prstDash val="solid"/>
    </a:ln>
  </c:spPr>
  <c:txPr>
    <a:bodyPr/>
    <a:lstStyle/>
    <a:p>
      <a:pPr>
        <a:defRPr sz="800" b="1" i="0" baseline="0">
          <a:solidFill>
            <a:schemeClr val="bg1">
              <a:lumMod val="50000"/>
            </a:schemeClr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Calibri"/>
                <a:cs typeface="Calibri"/>
              </a:defRPr>
            </a:pPr>
            <a:r>
              <a:rPr lang="en-US" sz="900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</a:rPr>
              <a:t>Units Sold By Channel</a:t>
            </a:r>
          </a:p>
        </c:rich>
      </c:tx>
      <c:layout>
        <c:manualLayout>
          <c:xMode val="edge"/>
          <c:yMode val="edge"/>
          <c:x val="0.33945050446675817"/>
          <c:y val="4.26540284360189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547470934486497"/>
          <c:y val="0.15639846619165199"/>
          <c:w val="0.53211168085722738"/>
          <c:h val="0.66350864444943269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noFill/>
              <a:prstDash val="solid"/>
            </a:ln>
          </c:spPr>
          <c:dPt>
            <c:idx val="0"/>
            <c:bubble3D val="0"/>
            <c:spPr>
              <a:solidFill>
                <a:srgbClr val="0296DF"/>
              </a:solidFill>
              <a:ln w="12700"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F3AB40"/>
              </a:solidFill>
              <a:ln w="12700"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8BC43F"/>
              </a:solidFill>
              <a:ln w="12700">
                <a:noFill/>
                <a:prstDash val="solid"/>
              </a:ln>
            </c:spPr>
          </c:dPt>
          <c:cat>
            <c:strRef>
              <c:f>ChannelDetail!$C$27:$C$29</c:f>
              <c:strCache>
                <c:ptCount val="3"/>
                <c:pt idx="0">
                  <c:v>Retail</c:v>
                </c:pt>
                <c:pt idx="1">
                  <c:v>Internet</c:v>
                </c:pt>
                <c:pt idx="2">
                  <c:v>Distribution</c:v>
                </c:pt>
              </c:strCache>
            </c:strRef>
          </c:cat>
          <c:val>
            <c:numRef>
              <c:f>ChannelDetail!$D$27:$D$29</c:f>
              <c:numCache>
                <c:formatCode>_(* #,##0_);_(* \(#,##0\);_(* "-"??_);_(@_)</c:formatCode>
                <c:ptCount val="3"/>
                <c:pt idx="0">
                  <c:v>2200.0000000000005</c:v>
                </c:pt>
                <c:pt idx="1">
                  <c:v>1393.7416690577622</c:v>
                </c:pt>
                <c:pt idx="2">
                  <c:v>1394.8000000000002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chemeClr val="bg1">
            <a:lumMod val="95000"/>
          </a:schemeClr>
        </a:solidFill>
      </c:spPr>
    </c:plotArea>
    <c:legend>
      <c:legendPos val="b"/>
      <c:layout>
        <c:manualLayout>
          <c:xMode val="edge"/>
          <c:yMode val="edge"/>
          <c:x val="6.5240193599653259E-2"/>
          <c:y val="0.857821895485813"/>
          <c:w val="0.81984926196152086"/>
          <c:h val="0.1009122911768730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1" i="0" u="none" strike="noStrike" baseline="0">
              <a:solidFill>
                <a:srgbClr val="808080"/>
              </a:solidFill>
              <a:latin typeface="Arial" panose="020B0604020202020204" pitchFamily="34" charset="0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95000"/>
      </a:schemeClr>
    </a:solidFill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96314086102555"/>
          <c:y val="2.6630398472918159E-2"/>
          <c:w val="0.62666757330378087"/>
          <c:h val="0.7527925554760200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MarginDetail!$C$11</c:f>
              <c:strCache>
                <c:ptCount val="1"/>
                <c:pt idx="0">
                  <c:v>Gross Revenue</c:v>
                </c:pt>
              </c:strCache>
            </c:strRef>
          </c:tx>
          <c:spPr>
            <a:solidFill>
              <a:srgbClr val="0296DF"/>
            </a:solidFill>
            <a:ln w="12700">
              <a:noFill/>
              <a:prstDash val="solid"/>
            </a:ln>
          </c:spPr>
          <c:invertIfNegative val="0"/>
          <c:cat>
            <c:strRef>
              <c:f>MarginDetail!$F$8:$H$8</c:f>
              <c:strCache>
                <c:ptCount val="3"/>
                <c:pt idx="0">
                  <c:v>Retail</c:v>
                </c:pt>
                <c:pt idx="1">
                  <c:v>Internet</c:v>
                </c:pt>
                <c:pt idx="2">
                  <c:v>Distribution</c:v>
                </c:pt>
              </c:strCache>
            </c:strRef>
          </c:cat>
          <c:val>
            <c:numRef>
              <c:f>MarginDetail!$F$11:$H$11</c:f>
              <c:numCache>
                <c:formatCode>_(* #,##0_);_(* \(#,##0\);_(* "-"??_);_(@_)</c:formatCode>
                <c:ptCount val="3"/>
                <c:pt idx="0">
                  <c:v>13385514.964177798</c:v>
                </c:pt>
                <c:pt idx="1">
                  <c:v>3641238.7510759928</c:v>
                </c:pt>
                <c:pt idx="2">
                  <c:v>654053.40000000014</c:v>
                </c:pt>
              </c:numCache>
            </c:numRef>
          </c:val>
        </c:ser>
        <c:ser>
          <c:idx val="0"/>
          <c:order val="1"/>
          <c:tx>
            <c:strRef>
              <c:f>MarginDetail!$C$14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8BC43F"/>
            </a:solidFill>
            <a:ln w="3175">
              <a:noFill/>
              <a:prstDash val="solid"/>
            </a:ln>
          </c:spPr>
          <c:invertIfNegative val="0"/>
          <c:cat>
            <c:strRef>
              <c:f>MarginDetail!$F$8:$H$8</c:f>
              <c:strCache>
                <c:ptCount val="3"/>
                <c:pt idx="0">
                  <c:v>Retail</c:v>
                </c:pt>
                <c:pt idx="1">
                  <c:v>Internet</c:v>
                </c:pt>
                <c:pt idx="2">
                  <c:v>Distribution</c:v>
                </c:pt>
              </c:strCache>
            </c:strRef>
          </c:cat>
          <c:val>
            <c:numRef>
              <c:f>MarginDetail!$F$14:$H$14</c:f>
              <c:numCache>
                <c:formatCode>_(* #,##0_);_(* \(#,##0\);_(* "-"??_);_(@_)</c:formatCode>
                <c:ptCount val="3"/>
                <c:pt idx="0">
                  <c:v>8703639.4364344887</c:v>
                </c:pt>
                <c:pt idx="1">
                  <c:v>1542938.2589668178</c:v>
                </c:pt>
                <c:pt idx="2">
                  <c:v>-674526.89439999999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185408"/>
        <c:axId val="185186944"/>
      </c:barChart>
      <c:lineChart>
        <c:grouping val="standard"/>
        <c:varyColors val="0"/>
        <c:ser>
          <c:idx val="2"/>
          <c:order val="2"/>
          <c:tx>
            <c:strRef>
              <c:f>MarginDetail!$C$15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57150">
              <a:solidFill>
                <a:srgbClr val="F3AB40"/>
              </a:solidFill>
              <a:prstDash val="solid"/>
            </a:ln>
          </c:spPr>
          <c:marker>
            <c:symbol val="none"/>
          </c:marker>
          <c:cat>
            <c:strRef>
              <c:f>MarginDetail!$F$8:$H$8</c:f>
              <c:strCache>
                <c:ptCount val="3"/>
                <c:pt idx="0">
                  <c:v>Retail</c:v>
                </c:pt>
                <c:pt idx="1">
                  <c:v>Internet</c:v>
                </c:pt>
                <c:pt idx="2">
                  <c:v>Distribution</c:v>
                </c:pt>
              </c:strCache>
            </c:strRef>
          </c:cat>
          <c:val>
            <c:numRef>
              <c:f>MarginDetail!$F$15:$H$15</c:f>
              <c:numCache>
                <c:formatCode>#0.0\%</c:formatCode>
                <c:ptCount val="3"/>
                <c:pt idx="0">
                  <c:v>65.022821010077649</c:v>
                </c:pt>
                <c:pt idx="1">
                  <c:v>42.373993150294709</c:v>
                </c:pt>
                <c:pt idx="2">
                  <c:v>-103.13024814181837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88736"/>
        <c:axId val="185190272"/>
      </c:lineChart>
      <c:catAx>
        <c:axId val="1851854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Calibri"/>
                <a:cs typeface="Calibri"/>
              </a:defRPr>
            </a:pPr>
            <a:endParaRPr lang="en-US"/>
          </a:p>
        </c:txPr>
        <c:crossAx val="1851869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85186944"/>
        <c:scaling>
          <c:orientation val="minMax"/>
        </c:scaling>
        <c:delete val="0"/>
        <c:axPos val="l"/>
        <c:numFmt formatCode="_(* #,##0_);_(* \(#,##0\);_(* &quot;-&quot;??_);_(@_)" sourceLinked="1"/>
        <c:majorTickMark val="cross"/>
        <c:minorTickMark val="none"/>
        <c:tickLblPos val="nextTo"/>
        <c:spPr>
          <a:ln w="3175">
            <a:solidFill>
              <a:schemeClr val="bg1">
                <a:lumMod val="8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Calibri"/>
                <a:cs typeface="Calibri"/>
              </a:defRPr>
            </a:pPr>
            <a:endParaRPr lang="en-US"/>
          </a:p>
        </c:txPr>
        <c:crossAx val="185185408"/>
        <c:crosses val="autoZero"/>
        <c:crossBetween val="between"/>
      </c:valAx>
      <c:catAx>
        <c:axId val="185188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5190272"/>
        <c:crosses val="autoZero"/>
        <c:auto val="0"/>
        <c:lblAlgn val="ctr"/>
        <c:lblOffset val="100"/>
        <c:noMultiLvlLbl val="0"/>
      </c:catAx>
      <c:valAx>
        <c:axId val="185190272"/>
        <c:scaling>
          <c:orientation val="minMax"/>
        </c:scaling>
        <c:delete val="0"/>
        <c:axPos val="r"/>
        <c:numFmt formatCode="General" sourceLinked="0"/>
        <c:majorTickMark val="cross"/>
        <c:minorTickMark val="none"/>
        <c:tickLblPos val="nextTo"/>
        <c:spPr>
          <a:ln w="3175">
            <a:solidFill>
              <a:schemeClr val="bg1">
                <a:lumMod val="8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Calibri"/>
                <a:cs typeface="Calibri"/>
              </a:defRPr>
            </a:pPr>
            <a:endParaRPr lang="en-US"/>
          </a:p>
        </c:txPr>
        <c:crossAx val="185188736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148257023427627"/>
          <c:y val="0.28421107887829811"/>
          <c:w val="0.18666697773889374"/>
          <c:h val="0.33684321038817522"/>
        </c:manualLayout>
      </c:layout>
      <c:overlay val="0"/>
      <c:spPr>
        <a:solidFill>
          <a:schemeClr val="bg1">
            <a:lumMod val="95000"/>
          </a:schemeClr>
        </a:solidFill>
        <a:ln w="3175">
          <a:noFill/>
          <a:prstDash val="solid"/>
        </a:ln>
      </c:spPr>
      <c:txPr>
        <a:bodyPr/>
        <a:lstStyle/>
        <a:p>
          <a:pPr>
            <a:defRPr sz="800" b="1" i="0" u="none" strike="noStrike" baseline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96314086102555"/>
          <c:y val="2.6630398472918159E-2"/>
          <c:w val="0.62666757330378087"/>
          <c:h val="0.8851355762347887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MarginDetailByQ!$C$11</c:f>
              <c:strCache>
                <c:ptCount val="1"/>
                <c:pt idx="0">
                  <c:v>Gross Revenue</c:v>
                </c:pt>
              </c:strCache>
            </c:strRef>
          </c:tx>
          <c:spPr>
            <a:solidFill>
              <a:srgbClr val="0296DF"/>
            </a:solidFill>
            <a:ln w="12700">
              <a:noFill/>
              <a:prstDash val="solid"/>
            </a:ln>
          </c:spPr>
          <c:invertIfNegative val="0"/>
          <c:cat>
            <c:strRef>
              <c:f>MarginDetailByQ!$E$8:$H$8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MarginDetailByQ!$E$11:$H$11</c:f>
              <c:numCache>
                <c:formatCode>#,##0_);[Red]\(#,##0\)</c:formatCode>
                <c:ptCount val="4"/>
                <c:pt idx="0">
                  <c:v>3369441.1127681877</c:v>
                </c:pt>
                <c:pt idx="1">
                  <c:v>3619029.6450812668</c:v>
                </c:pt>
                <c:pt idx="2">
                  <c:v>5278634.3387656948</c:v>
                </c:pt>
                <c:pt idx="3">
                  <c:v>5413702.0186386425</c:v>
                </c:pt>
              </c:numCache>
            </c:numRef>
          </c:val>
        </c:ser>
        <c:ser>
          <c:idx val="0"/>
          <c:order val="1"/>
          <c:tx>
            <c:strRef>
              <c:f>MarginDetailByQ!$C$14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8BC43F"/>
            </a:solidFill>
            <a:ln w="3175">
              <a:noFill/>
              <a:prstDash val="solid"/>
            </a:ln>
          </c:spPr>
          <c:invertIfNegative val="0"/>
          <c:cat>
            <c:strRef>
              <c:f>MarginDetailByQ!$E$8:$H$8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MarginDetailByQ!$E$14:$H$14</c:f>
              <c:numCache>
                <c:formatCode>#,##0_);[Red]\(#,##0\)</c:formatCode>
                <c:ptCount val="4"/>
                <c:pt idx="0">
                  <c:v>1649224.6027612656</c:v>
                </c:pt>
                <c:pt idx="1">
                  <c:v>1825928.0051191954</c:v>
                </c:pt>
                <c:pt idx="2">
                  <c:v>3015356.6335462928</c:v>
                </c:pt>
                <c:pt idx="3">
                  <c:v>3081541.5595745514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908160"/>
        <c:axId val="194909696"/>
      </c:barChart>
      <c:lineChart>
        <c:grouping val="standard"/>
        <c:varyColors val="0"/>
        <c:ser>
          <c:idx val="2"/>
          <c:order val="2"/>
          <c:tx>
            <c:strRef>
              <c:f>MarginDetailByQ!$C$15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57150">
              <a:solidFill>
                <a:srgbClr val="F3AB40"/>
              </a:solidFill>
              <a:prstDash val="solid"/>
            </a:ln>
          </c:spPr>
          <c:marker>
            <c:symbol val="none"/>
          </c:marker>
          <c:cat>
            <c:strRef>
              <c:f>MarginDetailByQ!$E$8:$H$8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MarginDetailByQ!$E$15:$H$15</c:f>
              <c:numCache>
                <c:formatCode>#0.0\%</c:formatCode>
                <c:ptCount val="4"/>
                <c:pt idx="0">
                  <c:v>48.946532898636526</c:v>
                </c:pt>
                <c:pt idx="1">
                  <c:v>50.453524402621838</c:v>
                </c:pt>
                <c:pt idx="2">
                  <c:v>57.123802105439545</c:v>
                </c:pt>
                <c:pt idx="3">
                  <c:v>56.921152087152585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11232"/>
        <c:axId val="194921216"/>
      </c:lineChart>
      <c:catAx>
        <c:axId val="1949081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Calibri"/>
                <a:cs typeface="Calibri"/>
              </a:defRPr>
            </a:pPr>
            <a:endParaRPr lang="en-US"/>
          </a:p>
        </c:txPr>
        <c:crossAx val="1949096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94909696"/>
        <c:scaling>
          <c:orientation val="minMax"/>
        </c:scaling>
        <c:delete val="0"/>
        <c:axPos val="l"/>
        <c:numFmt formatCode="#,##0_);[Red]\(#,##0\)" sourceLinked="1"/>
        <c:majorTickMark val="cross"/>
        <c:minorTickMark val="none"/>
        <c:tickLblPos val="nextTo"/>
        <c:spPr>
          <a:ln w="3175">
            <a:solidFill>
              <a:schemeClr val="bg1">
                <a:lumMod val="8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Calibri"/>
                <a:cs typeface="Calibri"/>
              </a:defRPr>
            </a:pPr>
            <a:endParaRPr lang="en-US"/>
          </a:p>
        </c:txPr>
        <c:crossAx val="194908160"/>
        <c:crosses val="autoZero"/>
        <c:crossBetween val="between"/>
      </c:valAx>
      <c:catAx>
        <c:axId val="194911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4921216"/>
        <c:crosses val="autoZero"/>
        <c:auto val="0"/>
        <c:lblAlgn val="ctr"/>
        <c:lblOffset val="100"/>
        <c:noMultiLvlLbl val="0"/>
      </c:catAx>
      <c:valAx>
        <c:axId val="194921216"/>
        <c:scaling>
          <c:orientation val="minMax"/>
        </c:scaling>
        <c:delete val="0"/>
        <c:axPos val="r"/>
        <c:numFmt formatCode="General" sourceLinked="0"/>
        <c:majorTickMark val="cross"/>
        <c:minorTickMark val="none"/>
        <c:tickLblPos val="nextTo"/>
        <c:spPr>
          <a:ln w="3175">
            <a:solidFill>
              <a:schemeClr val="bg1">
                <a:lumMod val="8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Calibri"/>
                <a:cs typeface="Calibri"/>
              </a:defRPr>
            </a:pPr>
            <a:endParaRPr lang="en-US"/>
          </a:p>
        </c:txPr>
        <c:crossAx val="194911232"/>
        <c:crosses val="max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148257023427627"/>
          <c:y val="0.28421107887829811"/>
          <c:w val="0.18666697773889374"/>
          <c:h val="0.33684321038817522"/>
        </c:manualLayout>
      </c:layout>
      <c:overlay val="0"/>
      <c:spPr>
        <a:solidFill>
          <a:schemeClr val="bg1">
            <a:lumMod val="95000"/>
          </a:schemeClr>
        </a:solidFill>
        <a:ln w="3175">
          <a:noFill/>
          <a:prstDash val="solid"/>
        </a:ln>
      </c:spPr>
      <c:txPr>
        <a:bodyPr/>
        <a:lstStyle/>
        <a:p>
          <a:pPr>
            <a:defRPr sz="800" b="1" i="0" u="none" strike="noStrike" baseline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63779527559054"/>
          <c:y val="4.2735732413613586E-2"/>
          <c:w val="0.51345859508159264"/>
          <c:h val="0.65445026178010468"/>
        </c:manualLayout>
      </c:layout>
      <c:barChart>
        <c:barDir val="col"/>
        <c:grouping val="stacked"/>
        <c:varyColors val="0"/>
        <c:ser>
          <c:idx val="0"/>
          <c:order val="0"/>
          <c:tx>
            <c:v>Phones</c:v>
          </c:tx>
          <c:spPr>
            <a:solidFill>
              <a:srgbClr val="0296DF"/>
            </a:solidFill>
          </c:spPr>
          <c:invertIfNegative val="0"/>
          <c:cat>
            <c:strRef>
              <c:f>Report!$F$7:$I$7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Lit>
              <c:formatCode>General</c:formatCode>
              <c:ptCount val="4"/>
              <c:pt idx="0">
                <c:v>604853.79815357993</c:v>
              </c:pt>
              <c:pt idx="1">
                <c:v>488509.13597076101</c:v>
              </c:pt>
              <c:pt idx="2">
                <c:v>442453.10985927819</c:v>
              </c:pt>
              <c:pt idx="3">
                <c:v>639651.04475345335</c:v>
              </c:pt>
            </c:numLit>
          </c:val>
        </c:ser>
        <c:ser>
          <c:idx val="1"/>
          <c:order val="1"/>
          <c:tx>
            <c:v>PCs</c:v>
          </c:tx>
          <c:spPr>
            <a:solidFill>
              <a:srgbClr val="F3AB40"/>
            </a:solidFill>
          </c:spPr>
          <c:invertIfNegative val="0"/>
          <c:cat>
            <c:strRef>
              <c:f>Report!$F$7:$I$7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Lit>
              <c:formatCode>General</c:formatCode>
              <c:ptCount val="4"/>
              <c:pt idx="0">
                <c:v>1093112</c:v>
              </c:pt>
              <c:pt idx="1">
                <c:v>1127479.1436795199</c:v>
              </c:pt>
              <c:pt idx="2">
                <c:v>1119881.4205367214</c:v>
              </c:pt>
              <c:pt idx="3">
                <c:v>1102198.1953563271</c:v>
              </c:pt>
            </c:numLit>
          </c:val>
        </c:ser>
        <c:ser>
          <c:idx val="2"/>
          <c:order val="2"/>
          <c:tx>
            <c:v>Tablets</c:v>
          </c:tx>
          <c:spPr>
            <a:solidFill>
              <a:srgbClr val="8BC43F"/>
            </a:solidFill>
          </c:spPr>
          <c:invertIfNegative val="0"/>
          <c:cat>
            <c:strRef>
              <c:f>Report!$F$7:$I$7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Lit>
              <c:formatCode>General</c:formatCode>
              <c:ptCount val="4"/>
              <c:pt idx="0">
                <c:v>389190</c:v>
              </c:pt>
              <c:pt idx="1">
                <c:v>431710</c:v>
              </c:pt>
              <c:pt idx="2">
                <c:v>518773.36600000004</c:v>
              </c:pt>
              <c:pt idx="3">
                <c:v>676648.37600000005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967360"/>
        <c:axId val="185968896"/>
      </c:barChart>
      <c:catAx>
        <c:axId val="18596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noFill/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chemeClr val="bg1">
                    <a:lumMod val="50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9688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85968896"/>
        <c:scaling>
          <c:orientation val="minMax"/>
        </c:scaling>
        <c:delete val="0"/>
        <c:axPos val="l"/>
        <c:majorGridlines>
          <c:spPr>
            <a:ln w="3175">
              <a:noFill/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chemeClr val="bg1">
                <a:lumMod val="8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chemeClr val="bg1">
                    <a:lumMod val="50000"/>
                  </a:schemeClr>
                </a:solidFill>
                <a:latin typeface="Arial" panose="020B0604020202020204" pitchFamily="34" charset="0"/>
                <a:ea typeface="Calibri"/>
                <a:cs typeface="Calibri"/>
              </a:defRPr>
            </a:pPr>
            <a:endParaRPr lang="en-US"/>
          </a:p>
        </c:txPr>
        <c:crossAx val="185967360"/>
        <c:crosses val="autoZero"/>
        <c:crossBetween val="between"/>
        <c:dispUnits>
          <c:builtInUnit val="thousands"/>
        </c:dispUnits>
      </c:valAx>
      <c:spPr>
        <a:noFill/>
        <a:ln w="12700">
          <a:noFill/>
          <a:prstDash val="solid"/>
        </a:ln>
      </c:spPr>
    </c:plotArea>
    <c:legend>
      <c:legendPos val="r"/>
      <c:layout>
        <c:manualLayout>
          <c:xMode val="edge"/>
          <c:yMode val="edge"/>
          <c:x val="0.68116072447465803"/>
          <c:y val="0.30890052356020942"/>
          <c:w val="0.12093223574325937"/>
          <c:h val="0.31173187121243351"/>
        </c:manualLayout>
      </c:layout>
      <c:overlay val="0"/>
      <c:spPr>
        <a:solidFill>
          <a:schemeClr val="bg1">
            <a:lumMod val="95000"/>
          </a:schemeClr>
        </a:solidFill>
        <a:ln w="25400">
          <a:noFill/>
        </a:ln>
      </c:spPr>
      <c:txPr>
        <a:bodyPr/>
        <a:lstStyle/>
        <a:p>
          <a:pPr>
            <a:defRPr sz="800" b="1" i="0" u="none" strike="noStrike" baseline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61108114910294"/>
          <c:y val="7.8275656719380651E-2"/>
          <c:w val="0.44236894704337959"/>
          <c:h val="0.7434554973821989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296DF"/>
              </a:solidFill>
            </c:spPr>
          </c:dPt>
          <c:dPt>
            <c:idx val="1"/>
            <c:bubble3D val="0"/>
            <c:spPr>
              <a:solidFill>
                <a:srgbClr val="F3AB40"/>
              </a:solidFill>
            </c:spPr>
          </c:dPt>
          <c:dPt>
            <c:idx val="2"/>
            <c:bubble3D val="0"/>
            <c:spPr>
              <a:solidFill>
                <a:srgbClr val="8BC43F"/>
              </a:solidFill>
            </c:spPr>
          </c:dPt>
          <c:cat>
            <c:strRef>
              <c:f>(Report!$C$9,Report!$C$13,Report!$C$17)</c:f>
              <c:strCache>
                <c:ptCount val="3"/>
                <c:pt idx="0">
                  <c:v>- Phones</c:v>
                </c:pt>
                <c:pt idx="1">
                  <c:v>- PCs</c:v>
                </c:pt>
                <c:pt idx="2">
                  <c:v>- Tablets</c:v>
                </c:pt>
              </c:strCache>
            </c:strRef>
          </c:cat>
          <c:val>
            <c:numRef>
              <c:f>(Report!$I$9,Report!$I$13,Report!$I$17)</c:f>
              <c:numCache>
                <c:formatCode>_(* #,##0_);_(* \(#,##0\);_(* " "??_);_(@_)</c:formatCode>
                <c:ptCount val="3"/>
                <c:pt idx="0">
                  <c:v>100142.54002874978</c:v>
                </c:pt>
                <c:pt idx="1">
                  <c:v>14995.524500000001</c:v>
                </c:pt>
                <c:pt idx="2">
                  <c:v>18445.759750000001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7912968822822384"/>
          <c:y val="0.24083769633507854"/>
          <c:w val="0.2182953295221659"/>
          <c:h val="0.36215223097112859"/>
        </c:manualLayout>
      </c:layout>
      <c:overlay val="0"/>
      <c:spPr>
        <a:solidFill>
          <a:schemeClr val="bg1">
            <a:lumMod val="95000"/>
          </a:schemeClr>
        </a:solidFill>
        <a:ln w="3175">
          <a:noFill/>
          <a:prstDash val="solid"/>
        </a:ln>
      </c:spPr>
      <c:txPr>
        <a:bodyPr/>
        <a:lstStyle/>
        <a:p>
          <a:pPr rtl="0">
            <a:defRPr sz="800" b="1" i="0" u="none" strike="noStrike" baseline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>
        <a:lumMod val="95000"/>
      </a:schemeClr>
    </a:solidFill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11</xdr:row>
          <xdr:rowOff>47625</xdr:rowOff>
        </xdr:from>
        <xdr:to>
          <xdr:col>4</xdr:col>
          <xdr:colOff>704850</xdr:colOff>
          <xdr:row>13</xdr:row>
          <xdr:rowOff>114300</xdr:rowOff>
        </xdr:to>
        <xdr:sp macro="" textlink="">
          <xdr:nvSpPr>
            <xdr:cNvPr id="54273" name="TIButton4" hidden="1">
              <a:extLst>
                <a:ext uri="{63B3BB69-23CF-44E3-9099-C40C66FF867C}">
                  <a14:compatExt spid="_x0000_s542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xdr:twoCellAnchor>
    <xdr:from>
      <xdr:col>3</xdr:col>
      <xdr:colOff>9525</xdr:colOff>
      <xdr:row>21</xdr:row>
      <xdr:rowOff>85725</xdr:rowOff>
    </xdr:from>
    <xdr:to>
      <xdr:col>19</xdr:col>
      <xdr:colOff>0</xdr:colOff>
      <xdr:row>38</xdr:row>
      <xdr:rowOff>171450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28575</xdr:colOff>
      <xdr:row>1</xdr:row>
      <xdr:rowOff>9525</xdr:rowOff>
    </xdr:from>
    <xdr:ext cx="9620250" cy="298800"/>
    <xdr:sp macro="" textlink="">
      <xdr:nvSpPr>
        <xdr:cNvPr id="4" name="Rectangle 3"/>
        <xdr:cNvSpPr/>
      </xdr:nvSpPr>
      <xdr:spPr>
        <a:xfrm>
          <a:off x="152400" y="9525"/>
          <a:ext cx="9620250" cy="298800"/>
        </a:xfrm>
        <a:prstGeom prst="rect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rtlCol="0" anchor="t">
          <a:spAutoFit/>
        </a:bodyPr>
        <a:lstStyle/>
        <a:p>
          <a:pPr algn="l"/>
          <a:r>
            <a:rPr lang="en-US" sz="1400" b="1" i="0" baseline="0">
              <a:latin typeface="Arial" panose="020B0604020202020204" pitchFamily="34" charset="0"/>
            </a:rPr>
            <a:t>New Product Entry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76199</xdr:colOff>
      <xdr:row>9</xdr:row>
      <xdr:rowOff>0</xdr:rowOff>
    </xdr:from>
    <xdr:ext cx="9972675" cy="298800"/>
    <xdr:sp macro="" textlink="">
      <xdr:nvSpPr>
        <xdr:cNvPr id="2" name="Rectangle 1"/>
        <xdr:cNvSpPr/>
      </xdr:nvSpPr>
      <xdr:spPr>
        <a:xfrm>
          <a:off x="257174" y="1685925"/>
          <a:ext cx="9972675" cy="298800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rtlCol="0" anchor="t">
          <a:spAutoFit/>
        </a:bodyPr>
        <a:lstStyle/>
        <a:p>
          <a:pPr algn="l"/>
          <a:r>
            <a:rPr lang="en-US" sz="1400" b="1" i="0" baseline="0">
              <a:latin typeface="Arial" panose="020B0604020202020204" pitchFamily="34" charset="0"/>
            </a:rPr>
            <a:t>Product Unit Forecast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11</xdr:row>
      <xdr:rowOff>142875</xdr:rowOff>
    </xdr:from>
    <xdr:to>
      <xdr:col>16</xdr:col>
      <xdr:colOff>0</xdr:colOff>
      <xdr:row>22</xdr:row>
      <xdr:rowOff>57150</xdr:rowOff>
    </xdr:to>
    <xdr:graphicFrame macro="">
      <xdr:nvGraphicFramePr>
        <xdr:cNvPr id="518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11</xdr:row>
      <xdr:rowOff>142875</xdr:rowOff>
    </xdr:from>
    <xdr:to>
      <xdr:col>6</xdr:col>
      <xdr:colOff>219075</xdr:colOff>
      <xdr:row>22</xdr:row>
      <xdr:rowOff>57150</xdr:rowOff>
    </xdr:to>
    <xdr:graphicFrame macro="">
      <xdr:nvGraphicFramePr>
        <xdr:cNvPr id="5185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76200</xdr:colOff>
      <xdr:row>1</xdr:row>
      <xdr:rowOff>28575</xdr:rowOff>
    </xdr:from>
    <xdr:ext cx="8905875" cy="298800"/>
    <xdr:sp macro="" textlink="">
      <xdr:nvSpPr>
        <xdr:cNvPr id="4" name="Rectangle 3"/>
        <xdr:cNvSpPr/>
      </xdr:nvSpPr>
      <xdr:spPr>
        <a:xfrm>
          <a:off x="76200" y="28575"/>
          <a:ext cx="8905875" cy="298800"/>
        </a:xfrm>
        <a:prstGeom prst="rect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rtlCol="0" anchor="t">
          <a:spAutoFit/>
        </a:bodyPr>
        <a:lstStyle/>
        <a:p>
          <a:pPr algn="l"/>
          <a:r>
            <a:rPr lang="en-US" sz="1400" b="1" i="0" baseline="0">
              <a:latin typeface="Arial" panose="020B0604020202020204" pitchFamily="34" charset="0"/>
            </a:rPr>
            <a:t>Channel Forecast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15</xdr:row>
      <xdr:rowOff>133349</xdr:rowOff>
    </xdr:from>
    <xdr:to>
      <xdr:col>9</xdr:col>
      <xdr:colOff>19050</xdr:colOff>
      <xdr:row>29</xdr:row>
      <xdr:rowOff>85724</xdr:rowOff>
    </xdr:to>
    <xdr:graphicFrame macro="">
      <xdr:nvGraphicFramePr>
        <xdr:cNvPr id="4916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1</xdr:colOff>
      <xdr:row>1</xdr:row>
      <xdr:rowOff>9525</xdr:rowOff>
    </xdr:from>
    <xdr:ext cx="6419850" cy="298800"/>
    <xdr:sp macro="" textlink="">
      <xdr:nvSpPr>
        <xdr:cNvPr id="3" name="Rectangle 2"/>
        <xdr:cNvSpPr/>
      </xdr:nvSpPr>
      <xdr:spPr>
        <a:xfrm>
          <a:off x="85726" y="219075"/>
          <a:ext cx="6419850" cy="298800"/>
        </a:xfrm>
        <a:prstGeom prst="rect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rtlCol="0" anchor="t">
          <a:spAutoFit/>
        </a:bodyPr>
        <a:lstStyle/>
        <a:p>
          <a:pPr algn="l"/>
          <a:r>
            <a:rPr lang="en-US" sz="1400" b="1" i="0" baseline="0">
              <a:latin typeface="Arial" panose="020B0604020202020204" pitchFamily="34" charset="0"/>
            </a:rPr>
            <a:t>Product Profitability by Channel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15</xdr:row>
      <xdr:rowOff>133349</xdr:rowOff>
    </xdr:from>
    <xdr:to>
      <xdr:col>9</xdr:col>
      <xdr:colOff>19050</xdr:colOff>
      <xdr:row>29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0</xdr:colOff>
      <xdr:row>0</xdr:row>
      <xdr:rowOff>0</xdr:rowOff>
    </xdr:from>
    <xdr:ext cx="6419850" cy="298800"/>
    <xdr:sp macro="" textlink="">
      <xdr:nvSpPr>
        <xdr:cNvPr id="3" name="Rectangle 2"/>
        <xdr:cNvSpPr/>
      </xdr:nvSpPr>
      <xdr:spPr>
        <a:xfrm>
          <a:off x="85725" y="0"/>
          <a:ext cx="6419850" cy="298800"/>
        </a:xfrm>
        <a:prstGeom prst="rect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rtlCol="0" anchor="t">
          <a:spAutoFit/>
        </a:bodyPr>
        <a:lstStyle/>
        <a:p>
          <a:pPr algn="l"/>
          <a:r>
            <a:rPr lang="en-US" sz="1400" b="1" i="0" baseline="0">
              <a:latin typeface="Arial" panose="020B0604020202020204" pitchFamily="34" charset="0"/>
            </a:rPr>
            <a:t>Product Profitability by Quarter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1</xdr:row>
      <xdr:rowOff>47625</xdr:rowOff>
    </xdr:from>
    <xdr:ext cx="7715250" cy="298800"/>
    <xdr:sp macro="" textlink="">
      <xdr:nvSpPr>
        <xdr:cNvPr id="2" name="Rectangle 1"/>
        <xdr:cNvSpPr/>
      </xdr:nvSpPr>
      <xdr:spPr>
        <a:xfrm>
          <a:off x="114300" y="47625"/>
          <a:ext cx="7715250" cy="298800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rtlCol="0" anchor="t">
          <a:spAutoFit/>
        </a:bodyPr>
        <a:lstStyle/>
        <a:p>
          <a:pPr algn="l"/>
          <a:r>
            <a:rPr lang="en-US" sz="1400" b="1" i="0" baseline="0">
              <a:latin typeface="Arial" panose="020B0604020202020204" pitchFamily="34" charset="0"/>
            </a:rPr>
            <a:t>Product Assumptions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85726</xdr:rowOff>
    </xdr:from>
    <xdr:to>
      <xdr:col>5</xdr:col>
      <xdr:colOff>304800</xdr:colOff>
      <xdr:row>31</xdr:row>
      <xdr:rowOff>104776</xdr:rowOff>
    </xdr:to>
    <xdr:graphicFrame macro="">
      <xdr:nvGraphicFramePr>
        <xdr:cNvPr id="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466726</xdr:colOff>
      <xdr:row>19</xdr:row>
      <xdr:rowOff>95250</xdr:rowOff>
    </xdr:from>
    <xdr:to>
      <xdr:col>8</xdr:col>
      <xdr:colOff>1038226</xdr:colOff>
      <xdr:row>31</xdr:row>
      <xdr:rowOff>76200</xdr:rowOff>
    </xdr:to>
    <xdr:graphicFrame macro="">
      <xdr:nvGraphicFramePr>
        <xdr:cNvPr id="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66675</xdr:colOff>
      <xdr:row>1</xdr:row>
      <xdr:rowOff>47625</xdr:rowOff>
    </xdr:from>
    <xdr:ext cx="8267700" cy="298800"/>
    <xdr:sp macro="" textlink="">
      <xdr:nvSpPr>
        <xdr:cNvPr id="4" name="Rectangle 3"/>
        <xdr:cNvSpPr/>
      </xdr:nvSpPr>
      <xdr:spPr>
        <a:xfrm>
          <a:off x="66675" y="114300"/>
          <a:ext cx="8267700" cy="298800"/>
        </a:xfrm>
        <a:prstGeom prst="rect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rtlCol="0" anchor="t">
          <a:spAutoFit/>
        </a:bodyPr>
        <a:lstStyle/>
        <a:p>
          <a:pPr algn="l"/>
          <a:r>
            <a:rPr lang="en-US" sz="1400" b="1" i="0" baseline="0">
              <a:latin typeface="Arial" panose="020B0604020202020204" pitchFamily="34" charset="0"/>
            </a:rPr>
            <a:t>Product Unit Forecast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LastTupleSet_COR_Mappings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T21"/>
  <sheetViews>
    <sheetView showGridLines="0" showRowColHeaders="0" tabSelected="1" topLeftCell="C2" zoomScaleNormal="100" workbookViewId="0"/>
  </sheetViews>
  <sheetFormatPr defaultRowHeight="15" x14ac:dyDescent="0.25"/>
  <cols>
    <col min="1" max="1" width="9.140625" hidden="1" customWidth="1"/>
    <col min="2" max="2" width="19.85546875" hidden="1" customWidth="1"/>
    <col min="3" max="3" width="1.28515625" customWidth="1"/>
    <col min="4" max="4" width="12" customWidth="1"/>
    <col min="5" max="6" width="10.7109375" customWidth="1"/>
    <col min="7" max="10" width="8.7109375" customWidth="1"/>
    <col min="11" max="11" width="7.42578125" customWidth="1"/>
    <col min="12" max="12" width="8.5703125" customWidth="1"/>
    <col min="13" max="18" width="8.7109375" customWidth="1"/>
    <col min="19" max="19" width="8" customWidth="1"/>
  </cols>
  <sheetData>
    <row r="1" spans="2:20" hidden="1" x14ac:dyDescent="0.25">
      <c r="B1" s="1"/>
      <c r="C1" s="1"/>
      <c r="D1" s="1" t="s">
        <v>18</v>
      </c>
      <c r="E1" s="1"/>
      <c r="F1" s="1" t="str">
        <f ca="1">_xll.VIEW("region06:Revenue",$D$7,$H$5,"!","!",$K$5,$N$5,$D$17)</f>
        <v>region06:Revenue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20" s="17" customFormat="1" ht="15.75" x14ac:dyDescent="0.25">
      <c r="B2" s="26"/>
      <c r="C2" s="26"/>
      <c r="D2" s="26"/>
      <c r="E2" s="119"/>
      <c r="F2" s="120"/>
      <c r="G2" s="121"/>
      <c r="H2" s="121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4" spans="2:20" s="4" customFormat="1" hidden="1" x14ac:dyDescent="0.25">
      <c r="H4" s="124" t="s">
        <v>0</v>
      </c>
      <c r="I4" s="122"/>
      <c r="J4" s="123"/>
      <c r="K4" s="56" t="s">
        <v>1</v>
      </c>
      <c r="L4" s="57"/>
      <c r="M4" s="58"/>
      <c r="N4" s="125" t="s">
        <v>2</v>
      </c>
      <c r="O4" s="126"/>
      <c r="P4" s="126"/>
    </row>
    <row r="5" spans="2:20" s="4" customFormat="1" ht="12.75" hidden="1" x14ac:dyDescent="0.2">
      <c r="H5" s="130" t="str">
        <f ca="1">_xll.SUBNM("region06:Channel","Default","10","Caption_Default")</f>
        <v>Retail</v>
      </c>
      <c r="I5" s="130"/>
      <c r="J5" s="130"/>
      <c r="K5" s="59" t="str">
        <f ca="1">_xll.SUBNM("region06:Year","Default","Y2","Caption_Default")</f>
        <v>2015</v>
      </c>
      <c r="L5" s="59"/>
      <c r="M5" s="59"/>
      <c r="N5" s="130" t="str">
        <f ca="1">_xll.SUBNM("region06:Version","Current",_xll.DBR("region06:Calendar","Current Version","String"),"Caption_Default")</f>
        <v>Budget</v>
      </c>
      <c r="O5" s="130"/>
      <c r="P5" s="130"/>
      <c r="R5" s="131" t="str">
        <f ca="1">TEXT(VALUE(_xll.ELCOMP("region06:product",$H$10,_xll.ELCOMPN("region06:product",$H$10)))+1,0)</f>
        <v>22003</v>
      </c>
      <c r="S5" s="131"/>
    </row>
    <row r="6" spans="2:20" s="4" customFormat="1" x14ac:dyDescent="0.25">
      <c r="D6" s="115" t="s">
        <v>7</v>
      </c>
      <c r="E6" s="122"/>
      <c r="F6" s="122"/>
      <c r="G6" s="123"/>
    </row>
    <row r="7" spans="2:20" s="4" customFormat="1" ht="12.75" x14ac:dyDescent="0.25">
      <c r="D7" s="129" t="str">
        <f ca="1">_xll.SUBNM("region06:organization","Workflow","101","Caption_Default")</f>
        <v>Massachusetts</v>
      </c>
      <c r="E7" s="129"/>
      <c r="F7" s="129"/>
      <c r="G7" s="129"/>
    </row>
    <row r="8" spans="2:20" s="4" customFormat="1" ht="12.75" x14ac:dyDescent="0.25"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4"/>
    </row>
    <row r="9" spans="2:20" s="4" customFormat="1" ht="12.75" x14ac:dyDescent="0.25">
      <c r="D9" s="115" t="s">
        <v>34</v>
      </c>
      <c r="E9" s="116" t="s">
        <v>34</v>
      </c>
      <c r="F9" s="116"/>
      <c r="G9" s="117"/>
      <c r="H9" s="124" t="s">
        <v>86</v>
      </c>
      <c r="I9" s="116"/>
      <c r="J9" s="117"/>
      <c r="K9" s="124" t="s">
        <v>87</v>
      </c>
      <c r="L9" s="127"/>
      <c r="M9" s="117"/>
      <c r="N9" s="124" t="s">
        <v>88</v>
      </c>
      <c r="O9" s="116"/>
      <c r="P9" s="116"/>
      <c r="Q9" s="124" t="s">
        <v>92</v>
      </c>
      <c r="R9" s="116"/>
      <c r="S9" s="116"/>
      <c r="T9" s="44"/>
    </row>
    <row r="10" spans="2:20" s="4" customFormat="1" ht="15" customHeight="1" x14ac:dyDescent="0.25">
      <c r="D10" s="129"/>
      <c r="E10" s="129"/>
      <c r="F10" s="129"/>
      <c r="G10" s="129"/>
      <c r="H10" s="132" t="str">
        <f ca="1">_xll.SUBNM("region06:product","","22000","Caption_Default")</f>
        <v>4G Smart Phones</v>
      </c>
      <c r="I10" s="132"/>
      <c r="J10" s="132"/>
      <c r="K10" s="129">
        <v>2000</v>
      </c>
      <c r="L10" s="129"/>
      <c r="M10" s="129"/>
      <c r="N10" s="129" t="str">
        <f ca="1">_xll.SUBNM("region06:spread methods","StartDate","Jan Start","Caption_Default")</f>
        <v>Jan Start</v>
      </c>
      <c r="O10" s="129"/>
      <c r="P10" s="129"/>
      <c r="Q10" s="128" t="str">
        <f ca="1">_xll.SUBNM("region06:product","Level 0","21003","Caption_Default")</f>
        <v>3G 64Gb</v>
      </c>
      <c r="R10" s="128"/>
      <c r="S10" s="128"/>
      <c r="T10" s="44"/>
    </row>
    <row r="11" spans="2:20" hidden="1" x14ac:dyDescent="0.25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2:20" ht="6" customHeight="1" x14ac:dyDescent="0.25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2:20" x14ac:dyDescent="0.25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2:20" x14ac:dyDescent="0.25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2:20" hidden="1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2:20" ht="7.5" customHeight="1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19" s="4" customFormat="1" ht="15" customHeight="1" thickBot="1" x14ac:dyDescent="0.3">
      <c r="C17" s="65"/>
      <c r="D17" s="118" t="str">
        <f ca="1">_xll.SUBNM("region06:Revenue","Default","Units Sold","Caption_Default")</f>
        <v>Volume - Units</v>
      </c>
      <c r="E17" s="118"/>
      <c r="F17" s="118"/>
      <c r="G17" s="74" t="s">
        <v>1</v>
      </c>
      <c r="H17" s="74" t="s">
        <v>19</v>
      </c>
      <c r="I17" s="74" t="s">
        <v>20</v>
      </c>
      <c r="J17" s="74" t="s">
        <v>21</v>
      </c>
      <c r="K17" s="74" t="s">
        <v>22</v>
      </c>
      <c r="L17" s="74" t="s">
        <v>23</v>
      </c>
      <c r="M17" s="74" t="s">
        <v>24</v>
      </c>
      <c r="N17" s="74" t="s">
        <v>25</v>
      </c>
      <c r="O17" s="74" t="s">
        <v>26</v>
      </c>
      <c r="P17" s="74" t="s">
        <v>27</v>
      </c>
      <c r="Q17" s="74" t="s">
        <v>28</v>
      </c>
      <c r="R17" s="74" t="s">
        <v>29</v>
      </c>
      <c r="S17" s="74" t="s">
        <v>30</v>
      </c>
    </row>
    <row r="18" spans="1:19" s="4" customFormat="1" ht="15" customHeight="1" thickTop="1" x14ac:dyDescent="0.25">
      <c r="A18" s="4" t="str">
        <f ca="1">_xll.DBRA("region06:product", pProductDriver, "Caption_Default")</f>
        <v>3G 64Gb</v>
      </c>
      <c r="B18" s="60" t="str">
        <f ca="1">IF(pParent="","",$A$18)</f>
        <v>3G 64Gb</v>
      </c>
      <c r="C18" s="60"/>
      <c r="D18" s="113" t="s">
        <v>89</v>
      </c>
      <c r="E18" s="113"/>
      <c r="F18" s="113"/>
      <c r="G18" s="64">
        <f ca="1">_xll.DBRW($F$1,$D$7,$H$5,$B18,G$17,$K$5,$N$5,$D$17)</f>
        <v>11116.546121482743</v>
      </c>
      <c r="H18" s="62">
        <f ca="1">_xll.DBRW($F$1,$D$7,$H$5,$B18,H$17,$K$5,$N$5,$D$17)</f>
        <v>791.8007170897381</v>
      </c>
      <c r="I18" s="62">
        <f ca="1">_xll.DBRW($F$1,$D$7,$H$5,$B18,I$17,$K$5,$N$5,$D$17)</f>
        <v>1035.4862215646961</v>
      </c>
      <c r="J18" s="62">
        <f ca="1">_xll.DBRW($F$1,$D$7,$H$5,$B18,J$17,$K$5,$N$5,$D$17)</f>
        <v>1325.9320198403507</v>
      </c>
      <c r="K18" s="62">
        <f ca="1">_xll.DBRW($F$1,$D$7,$H$5,$B18,K$17,$K$5,$N$5,$D$17)</f>
        <v>866.16500508196714</v>
      </c>
      <c r="L18" s="62">
        <f ca="1">_xll.DBRW($F$1,$D$7,$H$5,$B18,L$17,$K$5,$N$5,$D$17)</f>
        <v>1415.428925944881</v>
      </c>
      <c r="M18" s="62">
        <f ca="1">_xll.DBRW($F$1,$D$7,$H$5,$B18,M$17,$K$5,$N$5,$D$17)</f>
        <v>814.88625043291347</v>
      </c>
      <c r="N18" s="62">
        <f ca="1">_xll.DBRW($F$1,$D$7,$H$5,$B18,N$17,$K$5,$N$5,$D$17)</f>
        <v>813.51285818136557</v>
      </c>
      <c r="O18" s="62">
        <f ca="1">_xll.DBRW($F$1,$D$7,$H$5,$B18,O$17,$K$5,$N$5,$D$17)</f>
        <v>818.2801773208156</v>
      </c>
      <c r="P18" s="62">
        <f ca="1">_xll.DBRW($F$1,$D$7,$H$5,$B18,P$17,$K$5,$N$5,$D$17)</f>
        <v>878.11818806102883</v>
      </c>
      <c r="Q18" s="62">
        <f ca="1">_xll.DBRW($F$1,$D$7,$H$5,$B18,Q$17,$K$5,$N$5,$D$17)</f>
        <v>823.06081000463269</v>
      </c>
      <c r="R18" s="62">
        <f ca="1">_xll.DBRW($F$1,$D$7,$H$5,$B18,R$17,$K$5,$N$5,$D$17)</f>
        <v>813.79692029542559</v>
      </c>
      <c r="S18" s="62">
        <f ca="1">_xll.DBRW($F$1,$D$7,$H$5,$B18,S$17,$K$5,$N$5,$D$17)</f>
        <v>720.07802766492819</v>
      </c>
    </row>
    <row r="19" spans="1:19" s="6" customFormat="1" ht="15" customHeight="1" x14ac:dyDescent="0.25">
      <c r="B19" s="60" t="str">
        <f ca="1">IF(pParent="","","Predictive")</f>
        <v>Predictive</v>
      </c>
      <c r="C19" s="61"/>
      <c r="D19" s="114" t="s">
        <v>90</v>
      </c>
      <c r="E19" s="114"/>
      <c r="F19" s="114"/>
      <c r="G19" s="64">
        <f ca="1">_xll.DBRW($F$1,$D$7,$H$5,$B$18,G$17,$K$5,$B$19,$D$17)</f>
        <v>1491</v>
      </c>
      <c r="H19" s="62">
        <f ca="1">_xll.DBRW($F$1,$D$7,$H$5,$B$18,H$17,$K$5,$B$19,$D$17)</f>
        <v>21</v>
      </c>
      <c r="I19" s="62">
        <f ca="1">_xll.DBRW($F$1,$D$7,$H$5,$B$18,I$17,$K$5,$B$19,$D$17)</f>
        <v>219</v>
      </c>
      <c r="J19" s="62">
        <f ca="1">_xll.DBRW($F$1,$D$7,$H$5,$B$18,J$17,$K$5,$B$19,$D$17)</f>
        <v>193</v>
      </c>
      <c r="K19" s="62">
        <f ca="1">_xll.DBRW($F$1,$D$7,$H$5,$B$18,K$17,$K$5,$B$19,$D$17)</f>
        <v>149</v>
      </c>
      <c r="L19" s="62">
        <f ca="1">_xll.DBRW($F$1,$D$7,$H$5,$B$18,L$17,$K$5,$B$19,$D$17)</f>
        <v>156</v>
      </c>
      <c r="M19" s="62">
        <f ca="1">_xll.DBRW($F$1,$D$7,$H$5,$B$18,M$17,$K$5,$B$19,$D$17)</f>
        <v>156</v>
      </c>
      <c r="N19" s="62">
        <f ca="1">_xll.DBRW($F$1,$D$7,$H$5,$B$18,N$17,$K$5,$B$19,$D$17)</f>
        <v>156</v>
      </c>
      <c r="O19" s="62">
        <f ca="1">_xll.DBRW($F$1,$D$7,$H$5,$B$18,O$17,$K$5,$B$19,$D$17)</f>
        <v>83</v>
      </c>
      <c r="P19" s="62">
        <f ca="1">_xll.DBRW($F$1,$D$7,$H$5,$B$18,P$17,$K$5,$B$19,$D$17)</f>
        <v>87</v>
      </c>
      <c r="Q19" s="62">
        <f ca="1">_xll.DBRW($F$1,$D$7,$H$5,$B$18,Q$17,$K$5,$B$19,$D$17)</f>
        <v>89</v>
      </c>
      <c r="R19" s="62">
        <f ca="1">_xll.DBRW($F$1,$D$7,$H$5,$B$18,R$17,$K$5,$B$19,$D$17)</f>
        <v>91</v>
      </c>
      <c r="S19" s="62">
        <f ca="1">_xll.DBRW($F$1,$D$7,$H$5,$B$18,S$17,$K$5,$B$19,$D$17)</f>
        <v>91</v>
      </c>
    </row>
    <row r="20" spans="1:19" s="4" customFormat="1" ht="15" customHeight="1" x14ac:dyDescent="0.25">
      <c r="A20" s="4" t="str">
        <f ca="1">_xll.SUBNM("region06:product","New",1,"Caption_Default")</f>
        <v>4G 16Gb</v>
      </c>
      <c r="B20" s="63" t="str">
        <f ca="1">IF(pNewName=$A$20,$A$20,"")</f>
        <v/>
      </c>
      <c r="C20" s="63"/>
      <c r="D20" s="114" t="s">
        <v>91</v>
      </c>
      <c r="E20" s="114"/>
      <c r="F20" s="114"/>
      <c r="G20" s="64" t="str">
        <f ca="1">_xll.DBRW($F$1,$D$7,$H$5,$B20,G$17,$K$5,$N$5,$D$17)</f>
        <v/>
      </c>
      <c r="H20" s="62" t="str">
        <f ca="1">_xll.DBRW($F$1,$D$7,$H$5,$B20,H$17,$K$5,$N$5,$D$17)</f>
        <v/>
      </c>
      <c r="I20" s="62" t="str">
        <f ca="1">_xll.DBRW($F$1,$D$7,$H$5,$B20,I$17,$K$5,$N$5,$D$17)</f>
        <v/>
      </c>
      <c r="J20" s="62" t="str">
        <f ca="1">_xll.DBRW($F$1,$D$7,$H$5,$B20,J$17,$K$5,$N$5,$D$17)</f>
        <v/>
      </c>
      <c r="K20" s="62" t="str">
        <f ca="1">_xll.DBRW($F$1,$D$7,$H$5,$B20,K$17,$K$5,$N$5,$D$17)</f>
        <v/>
      </c>
      <c r="L20" s="62" t="str">
        <f ca="1">_xll.DBRW($F$1,$D$7,$H$5,$B20,L$17,$K$5,$N$5,$D$17)</f>
        <v/>
      </c>
      <c r="M20" s="62" t="str">
        <f ca="1">_xll.DBRW($F$1,$D$7,$H$5,$B20,M$17,$K$5,$N$5,$D$17)</f>
        <v/>
      </c>
      <c r="N20" s="62" t="str">
        <f ca="1">_xll.DBRW($F$1,$D$7,$H$5,$B20,N$17,$K$5,$N$5,$D$17)</f>
        <v/>
      </c>
      <c r="O20" s="62" t="str">
        <f ca="1">_xll.DBRW($F$1,$D$7,$H$5,$B20,O$17,$K$5,$N$5,$D$17)</f>
        <v/>
      </c>
      <c r="P20" s="62" t="str">
        <f ca="1">_xll.DBRW($F$1,$D$7,$H$5,$B20,P$17,$K$5,$N$5,$D$17)</f>
        <v/>
      </c>
      <c r="Q20" s="62" t="str">
        <f ca="1">_xll.DBRW($F$1,$D$7,$H$5,$B20,Q$17,$K$5,$N$5,$D$17)</f>
        <v/>
      </c>
      <c r="R20" s="62" t="str">
        <f ca="1">_xll.DBRW($F$1,$D$7,$H$5,$B20,R$17,$K$5,$N$5,$D$17)</f>
        <v/>
      </c>
      <c r="S20" s="62" t="str">
        <f ca="1">_xll.DBRW($F$1,$D$7,$H$5,$B20,S$17,$K$5,$N$5,$D$17)</f>
        <v/>
      </c>
    </row>
    <row r="21" spans="1:19" ht="4.5" customHeight="1" x14ac:dyDescent="0.25"/>
  </sheetData>
  <mergeCells count="22">
    <mergeCell ref="Q9:S9"/>
    <mergeCell ref="Q10:S10"/>
    <mergeCell ref="D7:G7"/>
    <mergeCell ref="H5:J5"/>
    <mergeCell ref="N5:P5"/>
    <mergeCell ref="R5:S5"/>
    <mergeCell ref="D10:G10"/>
    <mergeCell ref="H10:J10"/>
    <mergeCell ref="K10:M10"/>
    <mergeCell ref="N10:P10"/>
    <mergeCell ref="E2:H2"/>
    <mergeCell ref="D6:G6"/>
    <mergeCell ref="H4:J4"/>
    <mergeCell ref="N4:P4"/>
    <mergeCell ref="H9:J9"/>
    <mergeCell ref="K9:M9"/>
    <mergeCell ref="N9:P9"/>
    <mergeCell ref="D18:F18"/>
    <mergeCell ref="D19:F19"/>
    <mergeCell ref="D20:F20"/>
    <mergeCell ref="D9:G9"/>
    <mergeCell ref="D17:F17"/>
  </mergeCells>
  <pageMargins left="0.7" right="0.7" top="0.75" bottom="0.75" header="0.3" footer="0.3"/>
  <pageSetup scale="79" fitToHeight="0" orientation="landscape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4273" r:id="rId4" name="TIButton4">
          <controlPr defaultSize="0" print="0" autoLine="0" r:id="rId5">
            <anchor moveWithCells="1">
              <from>
                <xdr:col>3</xdr:col>
                <xdr:colOff>38100</xdr:colOff>
                <xdr:row>11</xdr:row>
                <xdr:rowOff>47625</xdr:rowOff>
              </from>
              <to>
                <xdr:col>4</xdr:col>
                <xdr:colOff>704850</xdr:colOff>
                <xdr:row>13</xdr:row>
                <xdr:rowOff>114300</xdr:rowOff>
              </to>
            </anchor>
          </controlPr>
        </control>
      </mc:Choice>
      <mc:Fallback>
        <control shapeId="54273" r:id="rId4" name="TIButton4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LL35"/>
  <sheetViews>
    <sheetView showGridLines="0" showRowColHeaders="0" topLeftCell="B10" workbookViewId="0">
      <selection activeCell="C30" sqref="C30"/>
    </sheetView>
  </sheetViews>
  <sheetFormatPr defaultRowHeight="15" x14ac:dyDescent="0.25"/>
  <cols>
    <col min="1" max="1" width="2.7109375" hidden="1" customWidth="1"/>
    <col min="2" max="2" width="1.28515625" customWidth="1"/>
    <col min="3" max="3" width="24.140625" customWidth="1"/>
    <col min="4" max="4" width="10.85546875" customWidth="1"/>
    <col min="5" max="16" width="9.5703125" customWidth="1"/>
  </cols>
  <sheetData>
    <row r="1" spans="1:16" hidden="1" x14ac:dyDescent="0.25">
      <c r="A1" t="s">
        <v>5</v>
      </c>
    </row>
    <row r="2" spans="1:16" hidden="1" x14ac:dyDescent="0.25">
      <c r="A2">
        <f>0</f>
        <v>0</v>
      </c>
      <c r="C2" s="104"/>
      <c r="D2" s="109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</row>
    <row r="3" spans="1:16" hidden="1" x14ac:dyDescent="0.25">
      <c r="A3">
        <f>1</f>
        <v>1</v>
      </c>
      <c r="C3" s="105" t="s">
        <v>79</v>
      </c>
      <c r="D3" s="110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</row>
    <row r="4" spans="1:16" hidden="1" x14ac:dyDescent="0.25">
      <c r="A4">
        <f>2</f>
        <v>2</v>
      </c>
      <c r="C4" s="35" t="s">
        <v>80</v>
      </c>
      <c r="D4" s="111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</row>
    <row r="5" spans="1:16" hidden="1" x14ac:dyDescent="0.25">
      <c r="A5">
        <f>3</f>
        <v>3</v>
      </c>
      <c r="C5" s="35" t="s">
        <v>81</v>
      </c>
      <c r="D5" s="111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</row>
    <row r="6" spans="1:16" hidden="1" x14ac:dyDescent="0.25">
      <c r="A6" t="s">
        <v>3</v>
      </c>
      <c r="C6" s="37" t="s">
        <v>82</v>
      </c>
      <c r="D6" s="112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</row>
    <row r="7" spans="1:16" hidden="1" x14ac:dyDescent="0.25">
      <c r="A7" t="s">
        <v>4</v>
      </c>
      <c r="C7" s="37" t="s">
        <v>83</v>
      </c>
      <c r="D7" s="112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1:16" hidden="1" x14ac:dyDescent="0.25">
      <c r="A8" t="s">
        <v>6</v>
      </c>
    </row>
    <row r="9" spans="1:16" ht="12.75" hidden="1" customHeight="1" x14ac:dyDescent="0.25">
      <c r="C9" t="str">
        <f ca="1">_xll.TM1RPTVIEW("region06:Revenue:1", 0, _xll.TM1RPTTITLE("region06:organization",$C$13), _xll.TM1RPTTITLE("region06:Channel",$D$13), _xll.TM1RPTTITLE("region06:Year",$H$13), _xll.TM1RPTTITLE("region06:Version",$J$13), _xll.TM1RPTTITLE("region06:Revenue",$F$13),TM1RPTFMTRNG,TM1RPTFMTIDCOL)</f>
        <v>region06:Revenue:1</v>
      </c>
    </row>
    <row r="10" spans="1:16" ht="21" customHeight="1" x14ac:dyDescent="0.25">
      <c r="C10" s="119"/>
      <c r="D10" s="120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</row>
    <row r="11" spans="1:16" ht="12.75" customHeight="1" x14ac:dyDescent="0.25"/>
    <row r="12" spans="1:16" s="4" customFormat="1" ht="15" customHeight="1" x14ac:dyDescent="0.25">
      <c r="C12" s="72" t="s">
        <v>7</v>
      </c>
      <c r="D12" s="124" t="s">
        <v>0</v>
      </c>
      <c r="E12" s="123"/>
      <c r="F12" s="124" t="s">
        <v>33</v>
      </c>
      <c r="G12" s="123"/>
      <c r="H12" s="124" t="s">
        <v>1</v>
      </c>
      <c r="I12" s="123"/>
      <c r="J12" s="124" t="s">
        <v>2</v>
      </c>
      <c r="K12" s="123"/>
      <c r="L12" s="124" t="s">
        <v>8</v>
      </c>
      <c r="M12" s="122"/>
      <c r="N12" s="122"/>
      <c r="O12" s="5"/>
      <c r="P12" s="6"/>
    </row>
    <row r="13" spans="1:16" s="4" customFormat="1" ht="15" customHeight="1" x14ac:dyDescent="0.25">
      <c r="C13" s="75" t="str">
        <f ca="1">_xll.SUBNM("region06:organization","Workflow",pOrg,"Caption_Default")</f>
        <v>Massachusetts</v>
      </c>
      <c r="D13" s="129" t="str">
        <f ca="1">_xll.SUBNM("region06:Channel","Default","Retail","Caption_Default")</f>
        <v>Retail</v>
      </c>
      <c r="E13" s="129"/>
      <c r="F13" s="129" t="str">
        <f ca="1">_xll.SUBNM("region06:Revenue","Default","Units Sold","Caption_Default")</f>
        <v>Volume - Units</v>
      </c>
      <c r="G13" s="129"/>
      <c r="H13" s="129" t="str">
        <f ca="1">_xll.SUBNM("region06:Year","Default","Y2","Caption_Default")</f>
        <v>2015</v>
      </c>
      <c r="I13" s="129"/>
      <c r="J13" s="129" t="str">
        <f ca="1">_xll.SUBNM("region06:Version","Current",_xll.DBR("region06:Calendar","Current Version","String"),"Caption_Default")</f>
        <v>Budget</v>
      </c>
      <c r="K13" s="129"/>
      <c r="L13" s="129" t="str">
        <f ca="1">_xll.SUBNM("region06:ProductSubset_PickList","Default","Default")</f>
        <v>Default</v>
      </c>
      <c r="M13" s="129"/>
      <c r="N13" s="129"/>
      <c r="O13" s="7"/>
    </row>
    <row r="14" spans="1:16" s="4" customFormat="1" ht="7.5" customHeight="1" x14ac:dyDescent="0.25"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</row>
    <row r="15" spans="1:16" s="4" customFormat="1" ht="15" hidden="1" customHeight="1" x14ac:dyDescent="0.25">
      <c r="C15" s="10" t="s">
        <v>8</v>
      </c>
      <c r="D15" s="134"/>
      <c r="E15" s="134"/>
      <c r="F15" s="44"/>
      <c r="G15" s="44"/>
      <c r="H15" s="44"/>
      <c r="I15" s="9"/>
      <c r="J15" s="133"/>
      <c r="K15" s="133"/>
      <c r="L15" s="44"/>
      <c r="M15" s="44"/>
      <c r="N15" s="44"/>
      <c r="O15" s="44"/>
      <c r="P15" s="44"/>
    </row>
    <row r="16" spans="1:16" s="4" customFormat="1" ht="15" hidden="1" customHeight="1" x14ac:dyDescent="0.25">
      <c r="C16" s="44"/>
      <c r="D16" s="44"/>
      <c r="E16" s="44"/>
      <c r="F16" s="44"/>
      <c r="G16" s="44"/>
      <c r="H16" s="44"/>
      <c r="I16" s="9"/>
      <c r="J16" s="133"/>
      <c r="K16" s="133"/>
      <c r="L16" s="44"/>
      <c r="M16" s="44"/>
      <c r="N16" s="44"/>
      <c r="O16" s="44"/>
      <c r="P16" s="44"/>
    </row>
    <row r="17" spans="1:1000" s="4" customFormat="1" ht="15" hidden="1" customHeight="1" x14ac:dyDescent="0.25"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</row>
    <row r="18" spans="1:1000" s="4" customFormat="1" ht="13.5" thickBot="1" x14ac:dyDescent="0.3">
      <c r="C18" s="100" t="s">
        <v>84</v>
      </c>
      <c r="D18" s="100" t="s">
        <v>1</v>
      </c>
      <c r="E18" s="100" t="s">
        <v>19</v>
      </c>
      <c r="F18" s="100" t="s">
        <v>20</v>
      </c>
      <c r="G18" s="100" t="s">
        <v>21</v>
      </c>
      <c r="H18" s="100" t="s">
        <v>22</v>
      </c>
      <c r="I18" s="100" t="s">
        <v>23</v>
      </c>
      <c r="J18" s="100" t="s">
        <v>24</v>
      </c>
      <c r="K18" s="100" t="s">
        <v>25</v>
      </c>
      <c r="L18" s="100" t="s">
        <v>26</v>
      </c>
      <c r="M18" s="100" t="s">
        <v>27</v>
      </c>
      <c r="N18" s="100" t="s">
        <v>28</v>
      </c>
      <c r="O18" s="100" t="s">
        <v>29</v>
      </c>
      <c r="P18" s="100" t="s">
        <v>30</v>
      </c>
    </row>
    <row r="19" spans="1:1000" s="8" customFormat="1" ht="15" customHeight="1" thickTop="1" x14ac:dyDescent="0.25">
      <c r="A19">
        <f ca="1">IF(_xll.TM1RPTELISCONSOLIDATED($C$19,$C19),IF(_xll.TM1RPTELLEV($C$19,$C19)&lt;=3,_xll.TM1RPTELLEV($C$19,$C19),"D"),IF($F$13="Units Sold","D","N"))</f>
        <v>0</v>
      </c>
      <c r="B19"/>
      <c r="C19" s="102" t="str">
        <f ca="1">_xll.TM1RPTROW($C$9,"region06:product",$L$13)</f>
        <v>Product Total</v>
      </c>
      <c r="D19" s="109">
        <f ca="1">_xll.DBRW($C$9,$C$13,$D$13,$C19,D$18,$H$13,$J$13,$F$13)</f>
        <v>56644.725412107597</v>
      </c>
      <c r="E19" s="103">
        <f ca="1">_xll.DBRW($C$9,$C$13,$D$13,$C19,E$18,$H$13,$J$13,$F$13)</f>
        <v>10359.184524730199</v>
      </c>
      <c r="F19" s="103">
        <f ca="1">_xll.DBRW($C$9,$C$13,$D$13,$C19,F$18,$H$13,$J$13,$F$13)</f>
        <v>5141.8402473078086</v>
      </c>
      <c r="G19" s="103">
        <f ca="1">_xll.DBRW($C$9,$C$13,$D$13,$C19,G$18,$H$13,$J$13,$F$13)</f>
        <v>3903.4639071988991</v>
      </c>
      <c r="H19" s="103">
        <f ca="1">_xll.DBRW($C$9,$C$13,$D$13,$C19,H$18,$H$13,$J$13,$F$13)</f>
        <v>3514.060842087923</v>
      </c>
      <c r="I19" s="103">
        <f ca="1">_xll.DBRW($C$9,$C$13,$D$13,$C19,I$18,$H$13,$J$13,$F$13)</f>
        <v>3939.7949552388341</v>
      </c>
      <c r="J19" s="103">
        <f ca="1">_xll.DBRW($C$9,$C$13,$D$13,$C19,J$18,$H$13,$J$13,$F$13)</f>
        <v>3555.4246522329577</v>
      </c>
      <c r="K19" s="103">
        <f ca="1">_xll.DBRW($C$9,$C$13,$D$13,$C19,K$18,$H$13,$J$13,$F$13)</f>
        <v>3524.2574394911899</v>
      </c>
      <c r="L19" s="103">
        <f ca="1">_xll.DBRW($C$9,$C$13,$D$13,$C19,L$18,$H$13,$J$13,$F$13)</f>
        <v>3518.8233712258648</v>
      </c>
      <c r="M19" s="103">
        <f ca="1">_xll.DBRW($C$9,$C$13,$D$13,$C19,M$18,$H$13,$J$13,$F$13)</f>
        <v>3740.1129019592113</v>
      </c>
      <c r="N19" s="103">
        <f ca="1">_xll.DBRW($C$9,$C$13,$D$13,$C19,N$18,$H$13,$J$13,$F$13)</f>
        <v>5200.7338529959825</v>
      </c>
      <c r="O19" s="103">
        <f ca="1">_xll.DBRW($C$9,$C$13,$D$13,$C19,O$18,$H$13,$J$13,$F$13)</f>
        <v>5163.7607281715791</v>
      </c>
      <c r="P19" s="103">
        <f ca="1">_xll.DBRW($C$9,$C$13,$D$13,$C19,P$18,$H$13,$J$13,$F$13)</f>
        <v>5083.2679894671501</v>
      </c>
      <c r="Q19" s="55"/>
    </row>
    <row r="20" spans="1:1000" ht="15" customHeight="1" x14ac:dyDescent="0.25">
      <c r="A20">
        <f ca="1">IF(_xll.TM1RPTELISCONSOLIDATED($C$19,$C20),IF(_xll.TM1RPTELLEV($C$19,$C20)&lt;=3,_xll.TM1RPTELLEV($C$19,$C20),"D"),IF($F$13="Units Sold","D","N"))</f>
        <v>1</v>
      </c>
      <c r="C20" s="107" t="s">
        <v>65</v>
      </c>
      <c r="D20" s="110">
        <f ca="1">_xll.DBRW($C$9,$C$13,$D$13,$C20,D$18,$H$13,$J$13,$F$13)</f>
        <v>53213.825412107602</v>
      </c>
      <c r="E20" s="106">
        <f ca="1">_xll.DBRW($C$9,$C$13,$D$13,$C20,E$18,$H$13,$J$13,$F$13)</f>
        <v>10134.784524730203</v>
      </c>
      <c r="F20" s="106">
        <f ca="1">_xll.DBRW($C$9,$C$13,$D$13,$C20,F$18,$H$13,$J$13,$F$13)</f>
        <v>4889.9402473078062</v>
      </c>
      <c r="G20" s="106">
        <f ca="1">_xll.DBRW($C$9,$C$13,$D$13,$C20,G$18,$H$13,$J$13,$F$13)</f>
        <v>3639.4639071988986</v>
      </c>
      <c r="H20" s="106">
        <f ca="1">_xll.DBRW($C$9,$C$13,$D$13,$C20,H$18,$H$13,$J$13,$F$13)</f>
        <v>3240.1608420879229</v>
      </c>
      <c r="I20" s="106">
        <f ca="1">_xll.DBRW($C$9,$C$13,$D$13,$C20,I$18,$H$13,$J$13,$F$13)</f>
        <v>3660.3949552388344</v>
      </c>
      <c r="J20" s="106">
        <f ca="1">_xll.DBRW($C$9,$C$13,$D$13,$C20,J$18,$H$13,$J$13,$F$13)</f>
        <v>3266.1246522329575</v>
      </c>
      <c r="K20" s="106">
        <f ca="1">_xll.DBRW($C$9,$C$13,$D$13,$C20,K$18,$H$13,$J$13,$F$13)</f>
        <v>3244.8574394911898</v>
      </c>
      <c r="L20" s="106">
        <f ca="1">_xll.DBRW($C$9,$C$13,$D$13,$C20,L$18,$H$13,$J$13,$F$13)</f>
        <v>3227.3233712258648</v>
      </c>
      <c r="M20" s="106">
        <f ca="1">_xll.DBRW($C$9,$C$13,$D$13,$C20,M$18,$H$13,$J$13,$F$13)</f>
        <v>3436.5129019592105</v>
      </c>
      <c r="N20" s="106">
        <f ca="1">_xll.DBRW($C$9,$C$13,$D$13,$C20,N$18,$H$13,$J$13,$F$13)</f>
        <v>4885.0338529959818</v>
      </c>
      <c r="O20" s="106">
        <f ca="1">_xll.DBRW($C$9,$C$13,$D$13,$C20,O$18,$H$13,$J$13,$F$13)</f>
        <v>4844.76072817158</v>
      </c>
      <c r="P20" s="106">
        <f ca="1">_xll.DBRW($C$9,$C$13,$D$13,$C20,P$18,$H$13,$J$13,$F$13)</f>
        <v>4744.4679894671508</v>
      </c>
      <c r="Q20" s="55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  <c r="IW20" s="8"/>
      <c r="IX20" s="8"/>
      <c r="IY20" s="8"/>
      <c r="IZ20" s="8"/>
      <c r="JA20" s="8"/>
      <c r="JB20" s="8"/>
      <c r="JC20" s="8"/>
      <c r="JD20" s="8"/>
      <c r="JE20" s="8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8"/>
      <c r="LD20" s="8"/>
      <c r="LE20" s="8"/>
      <c r="LF20" s="8"/>
      <c r="LG20" s="8"/>
      <c r="LH20" s="8"/>
      <c r="LI20" s="8"/>
      <c r="LJ20" s="8"/>
      <c r="LK20" s="8"/>
      <c r="LL20" s="8"/>
      <c r="LM20" s="8"/>
      <c r="LN20" s="8"/>
      <c r="LO20" s="8"/>
      <c r="LP20" s="8"/>
      <c r="LQ20" s="8"/>
      <c r="LR20" s="8"/>
      <c r="LS20" s="8"/>
      <c r="LT20" s="8"/>
      <c r="LU20" s="8"/>
      <c r="LV20" s="8"/>
      <c r="LW20" s="8"/>
      <c r="LX20" s="8"/>
      <c r="LY20" s="8"/>
      <c r="LZ20" s="8"/>
      <c r="MA20" s="8"/>
      <c r="MB20" s="8"/>
      <c r="MC20" s="8"/>
      <c r="MD20" s="8"/>
      <c r="ME20" s="8"/>
      <c r="MF20" s="8"/>
      <c r="MG20" s="8"/>
      <c r="MH20" s="8"/>
      <c r="MI20" s="8"/>
      <c r="MJ20" s="8"/>
      <c r="MK20" s="8"/>
      <c r="ML20" s="8"/>
      <c r="MM20" s="8"/>
      <c r="MN20" s="8"/>
      <c r="MO20" s="8"/>
      <c r="MP20" s="8"/>
      <c r="MQ20" s="8"/>
      <c r="MR20" s="8"/>
      <c r="MS20" s="8"/>
      <c r="MT20" s="8"/>
      <c r="MU20" s="8"/>
      <c r="MV20" s="8"/>
      <c r="MW20" s="8"/>
      <c r="MX20" s="8"/>
      <c r="MY20" s="8"/>
      <c r="MZ20" s="8"/>
      <c r="NA20" s="8"/>
      <c r="NB20" s="8"/>
      <c r="NC20" s="8"/>
      <c r="ND20" s="8"/>
      <c r="NE20" s="8"/>
      <c r="NF20" s="8"/>
      <c r="NG20" s="8"/>
      <c r="NH20" s="8"/>
      <c r="NI20" s="8"/>
      <c r="NJ20" s="8"/>
      <c r="NK20" s="8"/>
      <c r="NL20" s="8"/>
      <c r="NM20" s="8"/>
      <c r="NN20" s="8"/>
      <c r="NO20" s="8"/>
      <c r="NP20" s="8"/>
      <c r="NQ20" s="8"/>
      <c r="NR20" s="8"/>
      <c r="NS20" s="8"/>
      <c r="NT20" s="8"/>
      <c r="NU20" s="8"/>
      <c r="NV20" s="8"/>
      <c r="NW20" s="8"/>
      <c r="NX20" s="8"/>
      <c r="NY20" s="8"/>
      <c r="NZ20" s="8"/>
      <c r="OA20" s="8"/>
      <c r="OB20" s="8"/>
      <c r="OC20" s="8"/>
      <c r="OD20" s="8"/>
      <c r="OE20" s="8"/>
      <c r="OF20" s="8"/>
      <c r="OG20" s="8"/>
      <c r="OH20" s="8"/>
      <c r="OI20" s="8"/>
      <c r="OJ20" s="8"/>
      <c r="OK20" s="8"/>
      <c r="OL20" s="8"/>
      <c r="OM20" s="8"/>
      <c r="ON20" s="8"/>
      <c r="OO20" s="8"/>
      <c r="OP20" s="8"/>
      <c r="OQ20" s="8"/>
      <c r="OR20" s="8"/>
      <c r="OS20" s="8"/>
      <c r="OT20" s="8"/>
      <c r="OU20" s="8"/>
      <c r="OV20" s="8"/>
      <c r="OW20" s="8"/>
      <c r="OX20" s="8"/>
      <c r="OY20" s="8"/>
      <c r="OZ20" s="8"/>
      <c r="PA20" s="8"/>
      <c r="PB20" s="8"/>
      <c r="PC20" s="8"/>
      <c r="PD20" s="8"/>
      <c r="PE20" s="8"/>
      <c r="PF20" s="8"/>
      <c r="PG20" s="8"/>
      <c r="PH20" s="8"/>
      <c r="PI20" s="8"/>
      <c r="PJ20" s="8"/>
      <c r="PK20" s="8"/>
      <c r="PL20" s="8"/>
      <c r="PM20" s="8"/>
      <c r="PN20" s="8"/>
      <c r="PO20" s="8"/>
      <c r="PP20" s="8"/>
      <c r="PQ20" s="8"/>
      <c r="PR20" s="8"/>
      <c r="PS20" s="8"/>
      <c r="PT20" s="8"/>
      <c r="PU20" s="8"/>
      <c r="PV20" s="8"/>
      <c r="PW20" s="8"/>
      <c r="PX20" s="8"/>
      <c r="PY20" s="8"/>
      <c r="PZ20" s="8"/>
      <c r="QA20" s="8"/>
      <c r="QB20" s="8"/>
      <c r="QC20" s="8"/>
      <c r="QD20" s="8"/>
      <c r="QE20" s="8"/>
      <c r="QF20" s="8"/>
      <c r="QG20" s="8"/>
      <c r="QH20" s="8"/>
      <c r="QI20" s="8"/>
      <c r="QJ20" s="8"/>
      <c r="QK20" s="8"/>
      <c r="QL20" s="8"/>
      <c r="QM20" s="8"/>
      <c r="QN20" s="8"/>
      <c r="QO20" s="8"/>
      <c r="QP20" s="8"/>
      <c r="QQ20" s="8"/>
      <c r="QR20" s="8"/>
      <c r="QS20" s="8"/>
      <c r="QT20" s="8"/>
      <c r="QU20" s="8"/>
      <c r="QV20" s="8"/>
      <c r="QW20" s="8"/>
      <c r="QX20" s="8"/>
      <c r="QY20" s="8"/>
      <c r="QZ20" s="8"/>
      <c r="RA20" s="8"/>
      <c r="RB20" s="8"/>
      <c r="RC20" s="8"/>
      <c r="RD20" s="8"/>
      <c r="RE20" s="8"/>
      <c r="RF20" s="8"/>
      <c r="RG20" s="8"/>
      <c r="RH20" s="8"/>
      <c r="RI20" s="8"/>
      <c r="RJ20" s="8"/>
      <c r="RK20" s="8"/>
      <c r="RL20" s="8"/>
      <c r="RM20" s="8"/>
      <c r="RN20" s="8"/>
      <c r="RO20" s="8"/>
      <c r="RP20" s="8"/>
      <c r="RQ20" s="8"/>
      <c r="RR20" s="8"/>
      <c r="RS20" s="8"/>
      <c r="RT20" s="8"/>
      <c r="RU20" s="8"/>
      <c r="RV20" s="8"/>
      <c r="RW20" s="8"/>
      <c r="RX20" s="8"/>
      <c r="RY20" s="8"/>
      <c r="RZ20" s="8"/>
      <c r="SA20" s="8"/>
      <c r="SB20" s="8"/>
      <c r="SC20" s="8"/>
      <c r="SD20" s="8"/>
      <c r="SE20" s="8"/>
      <c r="SF20" s="8"/>
      <c r="SG20" s="8"/>
      <c r="SH20" s="8"/>
      <c r="SI20" s="8"/>
      <c r="SJ20" s="8"/>
      <c r="SK20" s="8"/>
      <c r="SL20" s="8"/>
      <c r="SM20" s="8"/>
      <c r="SN20" s="8"/>
      <c r="SO20" s="8"/>
      <c r="SP20" s="8"/>
      <c r="SQ20" s="8"/>
      <c r="SR20" s="8"/>
      <c r="SS20" s="8"/>
      <c r="ST20" s="8"/>
      <c r="SU20" s="8"/>
      <c r="SV20" s="8"/>
      <c r="SW20" s="8"/>
      <c r="SX20" s="8"/>
      <c r="SY20" s="8"/>
      <c r="SZ20" s="8"/>
      <c r="TA20" s="8"/>
      <c r="TB20" s="8"/>
      <c r="TC20" s="8"/>
      <c r="TD20" s="8"/>
      <c r="TE20" s="8"/>
      <c r="TF20" s="8"/>
      <c r="TG20" s="8"/>
      <c r="TH20" s="8"/>
      <c r="TI20" s="8"/>
      <c r="TJ20" s="8"/>
      <c r="TK20" s="8"/>
      <c r="TL20" s="8"/>
      <c r="TM20" s="8"/>
      <c r="TN20" s="8"/>
      <c r="TO20" s="8"/>
      <c r="TP20" s="8"/>
      <c r="TQ20" s="8"/>
      <c r="TR20" s="8"/>
      <c r="TS20" s="8"/>
      <c r="TT20" s="8"/>
      <c r="TU20" s="8"/>
      <c r="TV20" s="8"/>
      <c r="TW20" s="8"/>
      <c r="TX20" s="8"/>
      <c r="TY20" s="8"/>
      <c r="TZ20" s="8"/>
      <c r="UA20" s="8"/>
      <c r="UB20" s="8"/>
      <c r="UC20" s="8"/>
      <c r="UD20" s="8"/>
      <c r="UE20" s="8"/>
      <c r="UF20" s="8"/>
      <c r="UG20" s="8"/>
      <c r="UH20" s="8"/>
      <c r="UI20" s="8"/>
      <c r="UJ20" s="8"/>
      <c r="UK20" s="8"/>
      <c r="UL20" s="8"/>
      <c r="UM20" s="8"/>
      <c r="UN20" s="8"/>
      <c r="UO20" s="8"/>
      <c r="UP20" s="8"/>
      <c r="UQ20" s="8"/>
      <c r="UR20" s="8"/>
      <c r="US20" s="8"/>
      <c r="UT20" s="8"/>
      <c r="UU20" s="8"/>
      <c r="UV20" s="8"/>
      <c r="UW20" s="8"/>
      <c r="UX20" s="8"/>
      <c r="UY20" s="8"/>
      <c r="UZ20" s="8"/>
      <c r="VA20" s="8"/>
      <c r="VB20" s="8"/>
      <c r="VC20" s="8"/>
      <c r="VD20" s="8"/>
      <c r="VE20" s="8"/>
      <c r="VF20" s="8"/>
      <c r="VG20" s="8"/>
      <c r="VH20" s="8"/>
      <c r="VI20" s="8"/>
      <c r="VJ20" s="8"/>
      <c r="VK20" s="8"/>
      <c r="VL20" s="8"/>
      <c r="VM20" s="8"/>
      <c r="VN20" s="8"/>
      <c r="VO20" s="8"/>
      <c r="VP20" s="8"/>
      <c r="VQ20" s="8"/>
      <c r="VR20" s="8"/>
      <c r="VS20" s="8"/>
      <c r="VT20" s="8"/>
      <c r="VU20" s="8"/>
      <c r="VV20" s="8"/>
      <c r="VW20" s="8"/>
      <c r="VX20" s="8"/>
      <c r="VY20" s="8"/>
      <c r="VZ20" s="8"/>
      <c r="WA20" s="8"/>
      <c r="WB20" s="8"/>
      <c r="WC20" s="8"/>
      <c r="WD20" s="8"/>
      <c r="WE20" s="8"/>
      <c r="WF20" s="8"/>
      <c r="WG20" s="8"/>
      <c r="WH20" s="8"/>
      <c r="WI20" s="8"/>
      <c r="WJ20" s="8"/>
      <c r="WK20" s="8"/>
      <c r="WL20" s="8"/>
      <c r="WM20" s="8"/>
      <c r="WN20" s="8"/>
      <c r="WO20" s="8"/>
      <c r="WP20" s="8"/>
      <c r="WQ20" s="8"/>
      <c r="WR20" s="8"/>
      <c r="WS20" s="8"/>
      <c r="WT20" s="8"/>
      <c r="WU20" s="8"/>
      <c r="WV20" s="8"/>
      <c r="WW20" s="8"/>
      <c r="WX20" s="8"/>
      <c r="WY20" s="8"/>
      <c r="WZ20" s="8"/>
      <c r="XA20" s="8"/>
      <c r="XB20" s="8"/>
      <c r="XC20" s="8"/>
      <c r="XD20" s="8"/>
      <c r="XE20" s="8"/>
      <c r="XF20" s="8"/>
      <c r="XG20" s="8"/>
      <c r="XH20" s="8"/>
      <c r="XI20" s="8"/>
      <c r="XJ20" s="8"/>
      <c r="XK20" s="8"/>
      <c r="XL20" s="8"/>
      <c r="XM20" s="8"/>
      <c r="XN20" s="8"/>
      <c r="XO20" s="8"/>
      <c r="XP20" s="8"/>
      <c r="XQ20" s="8"/>
      <c r="XR20" s="8"/>
      <c r="XS20" s="8"/>
      <c r="XT20" s="8"/>
      <c r="XU20" s="8"/>
      <c r="XV20" s="8"/>
      <c r="XW20" s="8"/>
      <c r="XX20" s="8"/>
      <c r="XY20" s="8"/>
      <c r="XZ20" s="8"/>
      <c r="YA20" s="8"/>
      <c r="YB20" s="8"/>
      <c r="YC20" s="8"/>
      <c r="YD20" s="8"/>
      <c r="YE20" s="8"/>
      <c r="YF20" s="8"/>
      <c r="YG20" s="8"/>
      <c r="YH20" s="8"/>
      <c r="YI20" s="8"/>
      <c r="YJ20" s="8"/>
      <c r="YK20" s="8"/>
      <c r="YL20" s="8"/>
      <c r="YM20" s="8"/>
      <c r="YN20" s="8"/>
      <c r="YO20" s="8"/>
      <c r="YP20" s="8"/>
      <c r="YQ20" s="8"/>
      <c r="YR20" s="8"/>
      <c r="YS20" s="8"/>
      <c r="YT20" s="8"/>
      <c r="YU20" s="8"/>
      <c r="YV20" s="8"/>
      <c r="YW20" s="8"/>
      <c r="YX20" s="8"/>
      <c r="YY20" s="8"/>
      <c r="YZ20" s="8"/>
      <c r="ZA20" s="8"/>
      <c r="ZB20" s="8"/>
      <c r="ZC20" s="8"/>
      <c r="ZD20" s="8"/>
      <c r="ZE20" s="8"/>
      <c r="ZF20" s="8"/>
      <c r="ZG20" s="8"/>
      <c r="ZH20" s="8"/>
      <c r="ZI20" s="8"/>
      <c r="ZJ20" s="8"/>
      <c r="ZK20" s="8"/>
      <c r="ZL20" s="8"/>
      <c r="ZM20" s="8"/>
      <c r="ZN20" s="8"/>
      <c r="ZO20" s="8"/>
      <c r="ZP20" s="8"/>
      <c r="ZQ20" s="8"/>
      <c r="ZR20" s="8"/>
      <c r="ZS20" s="8"/>
      <c r="ZT20" s="8"/>
      <c r="ZU20" s="8"/>
      <c r="ZV20" s="8"/>
      <c r="ZW20" s="8"/>
      <c r="ZX20" s="8"/>
      <c r="ZY20" s="8"/>
      <c r="ZZ20" s="8"/>
      <c r="AAA20" s="8"/>
      <c r="AAB20" s="8"/>
      <c r="AAC20" s="8"/>
      <c r="AAD20" s="8"/>
      <c r="AAE20" s="8"/>
      <c r="AAF20" s="8"/>
      <c r="AAG20" s="8"/>
      <c r="AAH20" s="8"/>
      <c r="AAI20" s="8"/>
      <c r="AAJ20" s="8"/>
      <c r="AAK20" s="8"/>
      <c r="AAL20" s="8"/>
      <c r="AAM20" s="8"/>
      <c r="AAN20" s="8"/>
      <c r="AAO20" s="8"/>
      <c r="AAP20" s="8"/>
      <c r="AAQ20" s="8"/>
      <c r="AAR20" s="8"/>
      <c r="AAS20" s="8"/>
      <c r="AAT20" s="8"/>
      <c r="AAU20" s="8"/>
      <c r="AAV20" s="8"/>
      <c r="AAW20" s="8"/>
      <c r="AAX20" s="8"/>
      <c r="AAY20" s="8"/>
      <c r="AAZ20" s="8"/>
      <c r="ABA20" s="8"/>
      <c r="ABB20" s="8"/>
      <c r="ABC20" s="8"/>
      <c r="ABD20" s="8"/>
      <c r="ABE20" s="8"/>
      <c r="ABF20" s="8"/>
      <c r="ABG20" s="8"/>
      <c r="ABH20" s="8"/>
      <c r="ABI20" s="8"/>
      <c r="ABJ20" s="8"/>
      <c r="ABK20" s="8"/>
      <c r="ABL20" s="8"/>
      <c r="ABM20" s="8"/>
      <c r="ABN20" s="8"/>
      <c r="ABO20" s="8"/>
      <c r="ABP20" s="8"/>
      <c r="ABQ20" s="8"/>
      <c r="ABR20" s="8"/>
      <c r="ABS20" s="8"/>
      <c r="ABT20" s="8"/>
      <c r="ABU20" s="8"/>
      <c r="ABV20" s="8"/>
      <c r="ABW20" s="8"/>
      <c r="ABX20" s="8"/>
      <c r="ABY20" s="8"/>
      <c r="ABZ20" s="8"/>
      <c r="ACA20" s="8"/>
      <c r="ACB20" s="8"/>
      <c r="ACC20" s="8"/>
      <c r="ACD20" s="8"/>
      <c r="ACE20" s="8"/>
      <c r="ACF20" s="8"/>
      <c r="ACG20" s="8"/>
      <c r="ACH20" s="8"/>
      <c r="ACI20" s="8"/>
      <c r="ACJ20" s="8"/>
      <c r="ACK20" s="8"/>
      <c r="ACL20" s="8"/>
      <c r="ACM20" s="8"/>
      <c r="ACN20" s="8"/>
      <c r="ACO20" s="8"/>
      <c r="ACP20" s="8"/>
      <c r="ACQ20" s="8"/>
      <c r="ACR20" s="8"/>
      <c r="ACS20" s="8"/>
      <c r="ACT20" s="8"/>
      <c r="ACU20" s="8"/>
      <c r="ACV20" s="8"/>
      <c r="ACW20" s="8"/>
      <c r="ACX20" s="8"/>
      <c r="ACY20" s="8"/>
      <c r="ACZ20" s="8"/>
      <c r="ADA20" s="8"/>
      <c r="ADB20" s="8"/>
      <c r="ADC20" s="8"/>
      <c r="ADD20" s="8"/>
      <c r="ADE20" s="8"/>
      <c r="ADF20" s="8"/>
      <c r="ADG20" s="8"/>
      <c r="ADH20" s="8"/>
      <c r="ADI20" s="8"/>
      <c r="ADJ20" s="8"/>
      <c r="ADK20" s="8"/>
      <c r="ADL20" s="8"/>
      <c r="ADM20" s="8"/>
      <c r="ADN20" s="8"/>
      <c r="ADO20" s="8"/>
      <c r="ADP20" s="8"/>
      <c r="ADQ20" s="8"/>
      <c r="ADR20" s="8"/>
      <c r="ADS20" s="8"/>
      <c r="ADT20" s="8"/>
      <c r="ADU20" s="8"/>
      <c r="ADV20" s="8"/>
      <c r="ADW20" s="8"/>
      <c r="ADX20" s="8"/>
      <c r="ADY20" s="8"/>
      <c r="ADZ20" s="8"/>
      <c r="AEA20" s="8"/>
      <c r="AEB20" s="8"/>
      <c r="AEC20" s="8"/>
      <c r="AED20" s="8"/>
      <c r="AEE20" s="8"/>
      <c r="AEF20" s="8"/>
      <c r="AEG20" s="8"/>
      <c r="AEH20" s="8"/>
      <c r="AEI20" s="8"/>
      <c r="AEJ20" s="8"/>
      <c r="AEK20" s="8"/>
      <c r="AEL20" s="8"/>
      <c r="AEM20" s="8"/>
      <c r="AEN20" s="8"/>
      <c r="AEO20" s="8"/>
      <c r="AEP20" s="8"/>
      <c r="AEQ20" s="8"/>
      <c r="AER20" s="8"/>
      <c r="AES20" s="8"/>
      <c r="AET20" s="8"/>
      <c r="AEU20" s="8"/>
      <c r="AEV20" s="8"/>
      <c r="AEW20" s="8"/>
      <c r="AEX20" s="8"/>
      <c r="AEY20" s="8"/>
      <c r="AEZ20" s="8"/>
      <c r="AFA20" s="8"/>
      <c r="AFB20" s="8"/>
      <c r="AFC20" s="8"/>
      <c r="AFD20" s="8"/>
      <c r="AFE20" s="8"/>
      <c r="AFF20" s="8"/>
      <c r="AFG20" s="8"/>
      <c r="AFH20" s="8"/>
      <c r="AFI20" s="8"/>
      <c r="AFJ20" s="8"/>
      <c r="AFK20" s="8"/>
      <c r="AFL20" s="8"/>
      <c r="AFM20" s="8"/>
      <c r="AFN20" s="8"/>
      <c r="AFO20" s="8"/>
      <c r="AFP20" s="8"/>
      <c r="AFQ20" s="8"/>
      <c r="AFR20" s="8"/>
      <c r="AFS20" s="8"/>
      <c r="AFT20" s="8"/>
      <c r="AFU20" s="8"/>
      <c r="AFV20" s="8"/>
      <c r="AFW20" s="8"/>
      <c r="AFX20" s="8"/>
      <c r="AFY20" s="8"/>
      <c r="AFZ20" s="8"/>
      <c r="AGA20" s="8"/>
      <c r="AGB20" s="8"/>
      <c r="AGC20" s="8"/>
      <c r="AGD20" s="8"/>
      <c r="AGE20" s="8"/>
      <c r="AGF20" s="8"/>
      <c r="AGG20" s="8"/>
      <c r="AGH20" s="8"/>
      <c r="AGI20" s="8"/>
      <c r="AGJ20" s="8"/>
      <c r="AGK20" s="8"/>
      <c r="AGL20" s="8"/>
      <c r="AGM20" s="8"/>
      <c r="AGN20" s="8"/>
      <c r="AGO20" s="8"/>
      <c r="AGP20" s="8"/>
      <c r="AGQ20" s="8"/>
      <c r="AGR20" s="8"/>
      <c r="AGS20" s="8"/>
      <c r="AGT20" s="8"/>
      <c r="AGU20" s="8"/>
      <c r="AGV20" s="8"/>
      <c r="AGW20" s="8"/>
      <c r="AGX20" s="8"/>
      <c r="AGY20" s="8"/>
      <c r="AGZ20" s="8"/>
      <c r="AHA20" s="8"/>
      <c r="AHB20" s="8"/>
      <c r="AHC20" s="8"/>
      <c r="AHD20" s="8"/>
      <c r="AHE20" s="8"/>
      <c r="AHF20" s="8"/>
      <c r="AHG20" s="8"/>
      <c r="AHH20" s="8"/>
      <c r="AHI20" s="8"/>
      <c r="AHJ20" s="8"/>
      <c r="AHK20" s="8"/>
      <c r="AHL20" s="8"/>
      <c r="AHM20" s="8"/>
      <c r="AHN20" s="8"/>
      <c r="AHO20" s="8"/>
      <c r="AHP20" s="8"/>
      <c r="AHQ20" s="8"/>
      <c r="AHR20" s="8"/>
      <c r="AHS20" s="8"/>
      <c r="AHT20" s="8"/>
      <c r="AHU20" s="8"/>
      <c r="AHV20" s="8"/>
      <c r="AHW20" s="8"/>
      <c r="AHX20" s="8"/>
      <c r="AHY20" s="8"/>
      <c r="AHZ20" s="8"/>
      <c r="AIA20" s="8"/>
      <c r="AIB20" s="8"/>
      <c r="AIC20" s="8"/>
      <c r="AID20" s="8"/>
      <c r="AIE20" s="8"/>
      <c r="AIF20" s="8"/>
      <c r="AIG20" s="8"/>
      <c r="AIH20" s="8"/>
      <c r="AII20" s="8"/>
      <c r="AIJ20" s="8"/>
      <c r="AIK20" s="8"/>
      <c r="AIL20" s="8"/>
      <c r="AIM20" s="8"/>
      <c r="AIN20" s="8"/>
      <c r="AIO20" s="8"/>
      <c r="AIP20" s="8"/>
      <c r="AIQ20" s="8"/>
      <c r="AIR20" s="8"/>
      <c r="AIS20" s="8"/>
      <c r="AIT20" s="8"/>
      <c r="AIU20" s="8"/>
      <c r="AIV20" s="8"/>
      <c r="AIW20" s="8"/>
      <c r="AIX20" s="8"/>
      <c r="AIY20" s="8"/>
      <c r="AIZ20" s="8"/>
      <c r="AJA20" s="8"/>
      <c r="AJB20" s="8"/>
      <c r="AJC20" s="8"/>
      <c r="AJD20" s="8"/>
      <c r="AJE20" s="8"/>
      <c r="AJF20" s="8"/>
      <c r="AJG20" s="8"/>
      <c r="AJH20" s="8"/>
      <c r="AJI20" s="8"/>
      <c r="AJJ20" s="8"/>
      <c r="AJK20" s="8"/>
      <c r="AJL20" s="8"/>
      <c r="AJM20" s="8"/>
      <c r="AJN20" s="8"/>
      <c r="AJO20" s="8"/>
      <c r="AJP20" s="8"/>
      <c r="AJQ20" s="8"/>
      <c r="AJR20" s="8"/>
      <c r="AJS20" s="8"/>
      <c r="AJT20" s="8"/>
      <c r="AJU20" s="8"/>
      <c r="AJV20" s="8"/>
      <c r="AJW20" s="8"/>
      <c r="AJX20" s="8"/>
      <c r="AJY20" s="8"/>
      <c r="AJZ20" s="8"/>
      <c r="AKA20" s="8"/>
      <c r="AKB20" s="8"/>
      <c r="AKC20" s="8"/>
      <c r="AKD20" s="8"/>
      <c r="AKE20" s="8"/>
      <c r="AKF20" s="8"/>
      <c r="AKG20" s="8"/>
      <c r="AKH20" s="8"/>
      <c r="AKI20" s="8"/>
      <c r="AKJ20" s="8"/>
      <c r="AKK20" s="8"/>
      <c r="AKL20" s="8"/>
      <c r="AKM20" s="8"/>
      <c r="AKN20" s="8"/>
      <c r="AKO20" s="8"/>
      <c r="AKP20" s="8"/>
      <c r="AKQ20" s="8"/>
      <c r="AKR20" s="8"/>
      <c r="AKS20" s="8"/>
      <c r="AKT20" s="8"/>
      <c r="AKU20" s="8"/>
      <c r="AKV20" s="8"/>
      <c r="AKW20" s="8"/>
      <c r="AKX20" s="8"/>
      <c r="AKY20" s="8"/>
      <c r="AKZ20" s="8"/>
      <c r="ALA20" s="8"/>
      <c r="ALB20" s="8"/>
      <c r="ALC20" s="8"/>
      <c r="ALD20" s="8"/>
      <c r="ALE20" s="8"/>
      <c r="ALF20" s="8"/>
      <c r="ALG20" s="8"/>
      <c r="ALH20" s="8"/>
      <c r="ALI20" s="8"/>
      <c r="ALJ20" s="8"/>
      <c r="ALK20" s="8"/>
      <c r="ALL20" s="8"/>
    </row>
    <row r="21" spans="1:1000" ht="15" customHeight="1" x14ac:dyDescent="0.25">
      <c r="A21">
        <f ca="1">IF(_xll.TM1RPTELISCONSOLIDATED($C$19,$C21),IF(_xll.TM1RPTELLEV($C$19,$C21)&lt;=3,_xll.TM1RPTELLEV($C$19,$C21),"D"),IF($F$13="Units Sold","D","N"))</f>
        <v>2</v>
      </c>
      <c r="C21" s="36" t="s">
        <v>66</v>
      </c>
      <c r="D21" s="111">
        <f ca="1">_xll.DBRW($C$9,$C$13,$D$13,$C21,D$18,$H$13,$J$13,$F$13)</f>
        <v>48369.425412107601</v>
      </c>
      <c r="E21" s="76">
        <f ca="1">_xll.DBRW($C$9,$C$13,$D$13,$C21,E$18,$H$13,$J$13,$F$13)</f>
        <v>9831.8554874963702</v>
      </c>
      <c r="F21" s="76">
        <f ca="1">_xll.DBRW($C$9,$C$13,$D$13,$C21,F$18,$H$13,$J$13,$F$13)</f>
        <v>4574.4368870952667</v>
      </c>
      <c r="G21" s="76">
        <f ca="1">_xll.DBRW($C$9,$C$13,$D$13,$C21,G$18,$H$13,$J$13,$F$13)</f>
        <v>3315.0442781693555</v>
      </c>
      <c r="H21" s="76">
        <f ca="1">_xll.DBRW($C$9,$C$13,$D$13,$C21,H$18,$H$13,$J$13,$F$13)</f>
        <v>2892.8236427360171</v>
      </c>
      <c r="I21" s="76">
        <f ca="1">_xll.DBRW($C$9,$C$13,$D$13,$C21,I$18,$H$13,$J$13,$F$13)</f>
        <v>3295.8747799387761</v>
      </c>
      <c r="J21" s="76">
        <f ca="1">_xll.DBRW($C$9,$C$13,$D$13,$C21,J$18,$H$13,$J$13,$F$13)</f>
        <v>2882.3868629088943</v>
      </c>
      <c r="K21" s="76">
        <f ca="1">_xll.DBRW($C$9,$C$13,$D$13,$C21,K$18,$H$13,$J$13,$F$13)</f>
        <v>2834.292627021201</v>
      </c>
      <c r="L21" s="76">
        <f ca="1">_xll.DBRW($C$9,$C$13,$D$13,$C21,L$18,$H$13,$J$13,$F$13)</f>
        <v>2798.7413737582769</v>
      </c>
      <c r="M21" s="76">
        <f ca="1">_xll.DBRW($C$9,$C$13,$D$13,$C21,M$18,$H$13,$J$13,$F$13)</f>
        <v>2986.5363446942156</v>
      </c>
      <c r="N21" s="76">
        <f ca="1">_xll.DBRW($C$9,$C$13,$D$13,$C21,N$18,$H$13,$J$13,$F$13)</f>
        <v>4403.5911711497865</v>
      </c>
      <c r="O21" s="76">
        <f ca="1">_xll.DBRW($C$9,$C$13,$D$13,$C21,O$18,$H$13,$J$13,$F$13)</f>
        <v>4341.4786317776898</v>
      </c>
      <c r="P21" s="76">
        <f ca="1">_xll.DBRW($C$9,$C$13,$D$13,$C21,P$18,$H$13,$J$13,$F$13)</f>
        <v>4212.3633253617509</v>
      </c>
      <c r="Q21" s="55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</row>
    <row r="22" spans="1:1000" ht="15" customHeight="1" x14ac:dyDescent="0.25">
      <c r="A22">
        <f ca="1">IF(_xll.TM1RPTELISCONSOLIDATED($C$19,$C22),IF(_xll.TM1RPTELLEV($C$19,$C22)&lt;=3,_xll.TM1RPTELLEV($C$19,$C22),"D"),IF($F$13="Units Sold","D","N"))</f>
        <v>2</v>
      </c>
      <c r="C22" s="36" t="s">
        <v>67</v>
      </c>
      <c r="D22" s="111">
        <f ca="1">_xll.DBRW($C$9,$C$13,$D$13,$C22,D$18,$H$13,$J$13,$F$13)</f>
        <v>3591.5000000000005</v>
      </c>
      <c r="E22" s="76">
        <f ca="1">_xll.DBRW($C$9,$C$13,$D$13,$C22,E$18,$H$13,$J$13,$F$13)</f>
        <v>190.72903723383303</v>
      </c>
      <c r="F22" s="76">
        <f ca="1">_xll.DBRW($C$9,$C$13,$D$13,$C22,F$18,$H$13,$J$13,$F$13)</f>
        <v>203.3033602125397</v>
      </c>
      <c r="G22" s="76">
        <f ca="1">_xll.DBRW($C$9,$C$13,$D$13,$C22,G$18,$H$13,$J$13,$F$13)</f>
        <v>215.5196290295429</v>
      </c>
      <c r="H22" s="76">
        <f ca="1">_xll.DBRW($C$9,$C$13,$D$13,$C22,H$18,$H$13,$J$13,$F$13)</f>
        <v>240.6371993519063</v>
      </c>
      <c r="I22" s="76">
        <f ca="1">_xll.DBRW($C$9,$C$13,$D$13,$C22,I$18,$H$13,$J$13,$F$13)</f>
        <v>257.82017530005879</v>
      </c>
      <c r="J22" s="76">
        <f ca="1">_xll.DBRW($C$9,$C$13,$D$13,$C22,J$18,$H$13,$J$13,$F$13)</f>
        <v>277.03778932406351</v>
      </c>
      <c r="K22" s="76">
        <f ca="1">_xll.DBRW($C$9,$C$13,$D$13,$C22,K$18,$H$13,$J$13,$F$13)</f>
        <v>307.16481246998865</v>
      </c>
      <c r="L22" s="76">
        <f ca="1">_xll.DBRW($C$9,$C$13,$D$13,$C22,L$18,$H$13,$J$13,$F$13)</f>
        <v>328.48199746758769</v>
      </c>
      <c r="M22" s="76">
        <f ca="1">_xll.DBRW($C$9,$C$13,$D$13,$C22,M$18,$H$13,$J$13,$F$13)</f>
        <v>349.87655726499474</v>
      </c>
      <c r="N22" s="76">
        <f ca="1">_xll.DBRW($C$9,$C$13,$D$13,$C22,N$18,$H$13,$J$13,$F$13)</f>
        <v>381.3426818461943</v>
      </c>
      <c r="O22" s="76">
        <f ca="1">_xll.DBRW($C$9,$C$13,$D$13,$C22,O$18,$H$13,$J$13,$F$13)</f>
        <v>405.38209639388987</v>
      </c>
      <c r="P22" s="76">
        <f ca="1">_xll.DBRW($C$9,$C$13,$D$13,$C22,P$18,$H$13,$J$13,$F$13)</f>
        <v>434.20466410540098</v>
      </c>
      <c r="Q22" s="55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  <c r="XY22" s="8"/>
      <c r="XZ22" s="8"/>
      <c r="YA22" s="8"/>
      <c r="YB22" s="8"/>
      <c r="YC22" s="8"/>
      <c r="YD22" s="8"/>
      <c r="YE22" s="8"/>
      <c r="YF22" s="8"/>
      <c r="YG22" s="8"/>
      <c r="YH22" s="8"/>
      <c r="YI22" s="8"/>
      <c r="YJ22" s="8"/>
      <c r="YK22" s="8"/>
      <c r="YL22" s="8"/>
      <c r="YM22" s="8"/>
      <c r="YN22" s="8"/>
      <c r="YO22" s="8"/>
      <c r="YP22" s="8"/>
      <c r="YQ22" s="8"/>
      <c r="YR22" s="8"/>
      <c r="YS22" s="8"/>
      <c r="YT22" s="8"/>
      <c r="YU22" s="8"/>
      <c r="YV22" s="8"/>
      <c r="YW22" s="8"/>
      <c r="YX22" s="8"/>
      <c r="YY22" s="8"/>
      <c r="YZ22" s="8"/>
      <c r="ZA22" s="8"/>
      <c r="ZB22" s="8"/>
      <c r="ZC22" s="8"/>
      <c r="ZD22" s="8"/>
      <c r="ZE22" s="8"/>
      <c r="ZF22" s="8"/>
      <c r="ZG22" s="8"/>
      <c r="ZH22" s="8"/>
      <c r="ZI22" s="8"/>
      <c r="ZJ22" s="8"/>
      <c r="ZK22" s="8"/>
      <c r="ZL22" s="8"/>
      <c r="ZM22" s="8"/>
      <c r="ZN22" s="8"/>
      <c r="ZO22" s="8"/>
      <c r="ZP22" s="8"/>
      <c r="ZQ22" s="8"/>
      <c r="ZR22" s="8"/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/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/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/>
      <c r="ACR22" s="8"/>
      <c r="ACS22" s="8"/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/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/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  <c r="AHM22" s="8"/>
      <c r="AHN22" s="8"/>
      <c r="AHO22" s="8"/>
      <c r="AHP22" s="8"/>
      <c r="AHQ22" s="8"/>
      <c r="AHR22" s="8"/>
      <c r="AHS22" s="8"/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  <c r="AJA22" s="8"/>
      <c r="AJB22" s="8"/>
      <c r="AJC22" s="8"/>
      <c r="AJD22" s="8"/>
      <c r="AJE22" s="8"/>
      <c r="AJF22" s="8"/>
      <c r="AJG22" s="8"/>
      <c r="AJH22" s="8"/>
      <c r="AJI22" s="8"/>
      <c r="AJJ22" s="8"/>
      <c r="AJK22" s="8"/>
      <c r="AJL22" s="8"/>
      <c r="AJM22" s="8"/>
      <c r="AJN22" s="8"/>
      <c r="AJO22" s="8"/>
      <c r="AJP22" s="8"/>
      <c r="AJQ22" s="8"/>
      <c r="AJR22" s="8"/>
      <c r="AJS22" s="8"/>
      <c r="AJT22" s="8"/>
      <c r="AJU22" s="8"/>
      <c r="AJV22" s="8"/>
      <c r="AJW22" s="8"/>
      <c r="AJX22" s="8"/>
      <c r="AJY22" s="8"/>
      <c r="AJZ22" s="8"/>
      <c r="AKA22" s="8"/>
      <c r="AKB22" s="8"/>
      <c r="AKC22" s="8"/>
      <c r="AKD22" s="8"/>
      <c r="AKE22" s="8"/>
      <c r="AKF22" s="8"/>
      <c r="AKG22" s="8"/>
      <c r="AKH22" s="8"/>
      <c r="AKI22" s="8"/>
      <c r="AKJ22" s="8"/>
      <c r="AKK22" s="8"/>
      <c r="AKL22" s="8"/>
      <c r="AKM22" s="8"/>
      <c r="AKN22" s="8"/>
      <c r="AKO22" s="8"/>
      <c r="AKP22" s="8"/>
      <c r="AKQ22" s="8"/>
      <c r="AKR22" s="8"/>
      <c r="AKS22" s="8"/>
      <c r="AKT22" s="8"/>
      <c r="AKU22" s="8"/>
      <c r="AKV22" s="8"/>
      <c r="AKW22" s="8"/>
      <c r="AKX22" s="8"/>
      <c r="AKY22" s="8"/>
      <c r="AKZ22" s="8"/>
      <c r="ALA22" s="8"/>
      <c r="ALB22" s="8"/>
      <c r="ALC22" s="8"/>
      <c r="ALD22" s="8"/>
      <c r="ALE22" s="8"/>
      <c r="ALF22" s="8"/>
      <c r="ALG22" s="8"/>
      <c r="ALH22" s="8"/>
      <c r="ALI22" s="8"/>
      <c r="ALJ22" s="8"/>
      <c r="ALK22" s="8"/>
      <c r="ALL22" s="8"/>
    </row>
    <row r="23" spans="1:1000" ht="15" customHeight="1" x14ac:dyDescent="0.25">
      <c r="A23">
        <f ca="1">IF(_xll.TM1RPTELISCONSOLIDATED($C$19,$C23),IF(_xll.TM1RPTELLEV($C$19,$C23)&lt;=3,_xll.TM1RPTELLEV($C$19,$C23),"D"),IF($F$13="Units Sold","D","N"))</f>
        <v>2</v>
      </c>
      <c r="C23" s="36" t="s">
        <v>68</v>
      </c>
      <c r="D23" s="111">
        <f ca="1">_xll.DBRW($C$9,$C$13,$D$13,$C23,D$18,$H$13,$J$13,$F$13)</f>
        <v>1252.9000000000003</v>
      </c>
      <c r="E23" s="76">
        <f ca="1">_xll.DBRW($C$9,$C$13,$D$13,$C23,E$18,$H$13,$J$13,$F$13)</f>
        <v>112.2</v>
      </c>
      <c r="F23" s="76">
        <f ca="1">_xll.DBRW($C$9,$C$13,$D$13,$C23,F$18,$H$13,$J$13,$F$13)</f>
        <v>112.2</v>
      </c>
      <c r="G23" s="76">
        <f ca="1">_xll.DBRW($C$9,$C$13,$D$13,$C23,G$18,$H$13,$J$13,$F$13)</f>
        <v>108.9</v>
      </c>
      <c r="H23" s="76">
        <f ca="1">_xll.DBRW($C$9,$C$13,$D$13,$C23,H$18,$H$13,$J$13,$F$13)</f>
        <v>106.7</v>
      </c>
      <c r="I23" s="76">
        <f ca="1">_xll.DBRW($C$9,$C$13,$D$13,$C23,I$18,$H$13,$J$13,$F$13)</f>
        <v>106.7</v>
      </c>
      <c r="J23" s="76">
        <f ca="1">_xll.DBRW($C$9,$C$13,$D$13,$C23,J$18,$H$13,$J$13,$F$13)</f>
        <v>106.7</v>
      </c>
      <c r="K23" s="76">
        <f ca="1">_xll.DBRW($C$9,$C$13,$D$13,$C23,K$18,$H$13,$J$13,$F$13)</f>
        <v>103.4</v>
      </c>
      <c r="L23" s="76">
        <f ca="1">_xll.DBRW($C$9,$C$13,$D$13,$C23,L$18,$H$13,$J$13,$F$13)</f>
        <v>100.10000000000001</v>
      </c>
      <c r="M23" s="76">
        <f ca="1">_xll.DBRW($C$9,$C$13,$D$13,$C23,M$18,$H$13,$J$13,$F$13)</f>
        <v>100.10000000000001</v>
      </c>
      <c r="N23" s="76">
        <f ca="1">_xll.DBRW($C$9,$C$13,$D$13,$C23,N$18,$H$13,$J$13,$F$13)</f>
        <v>100.10000000000001</v>
      </c>
      <c r="O23" s="76">
        <f ca="1">_xll.DBRW($C$9,$C$13,$D$13,$C23,O$18,$H$13,$J$13,$F$13)</f>
        <v>97.9</v>
      </c>
      <c r="P23" s="76">
        <f ca="1">_xll.DBRW($C$9,$C$13,$D$13,$C23,P$18,$H$13,$J$13,$F$13)</f>
        <v>97.9</v>
      </c>
      <c r="Q23" s="55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/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/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  <c r="AHM23" s="8"/>
      <c r="AHN23" s="8"/>
      <c r="AHO23" s="8"/>
      <c r="AHP23" s="8"/>
      <c r="AHQ23" s="8"/>
      <c r="AHR23" s="8"/>
      <c r="AHS23" s="8"/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  <c r="AJA23" s="8"/>
      <c r="AJB23" s="8"/>
      <c r="AJC23" s="8"/>
      <c r="AJD23" s="8"/>
      <c r="AJE23" s="8"/>
      <c r="AJF23" s="8"/>
      <c r="AJG23" s="8"/>
      <c r="AJH23" s="8"/>
      <c r="AJI23" s="8"/>
      <c r="AJJ23" s="8"/>
      <c r="AJK23" s="8"/>
      <c r="AJL23" s="8"/>
      <c r="AJM23" s="8"/>
      <c r="AJN23" s="8"/>
      <c r="AJO23" s="8"/>
      <c r="AJP23" s="8"/>
      <c r="AJQ23" s="8"/>
      <c r="AJR23" s="8"/>
      <c r="AJS23" s="8"/>
      <c r="AJT23" s="8"/>
      <c r="AJU23" s="8"/>
      <c r="AJV23" s="8"/>
      <c r="AJW23" s="8"/>
      <c r="AJX23" s="8"/>
      <c r="AJY23" s="8"/>
      <c r="AJZ23" s="8"/>
      <c r="AKA23" s="8"/>
      <c r="AKB23" s="8"/>
      <c r="AKC23" s="8"/>
      <c r="AKD23" s="8"/>
      <c r="AKE23" s="8"/>
      <c r="AKF23" s="8"/>
      <c r="AKG23" s="8"/>
      <c r="AKH23" s="8"/>
      <c r="AKI23" s="8"/>
      <c r="AKJ23" s="8"/>
      <c r="AKK23" s="8"/>
      <c r="AKL23" s="8"/>
      <c r="AKM23" s="8"/>
      <c r="AKN23" s="8"/>
      <c r="AKO23" s="8"/>
      <c r="AKP23" s="8"/>
      <c r="AKQ23" s="8"/>
      <c r="AKR23" s="8"/>
      <c r="AKS23" s="8"/>
      <c r="AKT23" s="8"/>
      <c r="AKU23" s="8"/>
      <c r="AKV23" s="8"/>
      <c r="AKW23" s="8"/>
      <c r="AKX23" s="8"/>
      <c r="AKY23" s="8"/>
      <c r="AKZ23" s="8"/>
      <c r="ALA23" s="8"/>
      <c r="ALB23" s="8"/>
      <c r="ALC23" s="8"/>
      <c r="ALD23" s="8"/>
      <c r="ALE23" s="8"/>
      <c r="ALF23" s="8"/>
      <c r="ALG23" s="8"/>
      <c r="ALH23" s="8"/>
      <c r="ALI23" s="8"/>
      <c r="ALJ23" s="8"/>
      <c r="ALK23" s="8"/>
      <c r="ALL23" s="8"/>
    </row>
    <row r="24" spans="1:1000" ht="15" customHeight="1" x14ac:dyDescent="0.25">
      <c r="A24">
        <f ca="1">IF(_xll.TM1RPTELISCONSOLIDATED($C$19,$C24),IF(_xll.TM1RPTELLEV($C$19,$C24)&lt;=3,_xll.TM1RPTELLEV($C$19,$C24),"D"),IF($F$13="Units Sold","D","N"))</f>
        <v>1</v>
      </c>
      <c r="C24" s="107" t="s">
        <v>69</v>
      </c>
      <c r="D24" s="110">
        <f ca="1">_xll.DBRW($C$9,$C$13,$D$13,$C24,D$18,$H$13,$J$13,$F$13)</f>
        <v>2033.9000000000005</v>
      </c>
      <c r="E24" s="106">
        <f ca="1">_xll.DBRW($C$9,$C$13,$D$13,$C24,E$18,$H$13,$J$13,$F$13)</f>
        <v>126.5</v>
      </c>
      <c r="F24" s="106">
        <f ca="1">_xll.DBRW($C$9,$C$13,$D$13,$C24,F$18,$H$13,$J$13,$F$13)</f>
        <v>149.60000000000002</v>
      </c>
      <c r="G24" s="106">
        <f ca="1">_xll.DBRW($C$9,$C$13,$D$13,$C24,G$18,$H$13,$J$13,$F$13)</f>
        <v>161.70000000000002</v>
      </c>
      <c r="H24" s="106">
        <f ca="1">_xll.DBRW($C$9,$C$13,$D$13,$C24,H$18,$H$13,$J$13,$F$13)</f>
        <v>170.50000000000003</v>
      </c>
      <c r="I24" s="106">
        <f ca="1">_xll.DBRW($C$9,$C$13,$D$13,$C24,I$18,$H$13,$J$13,$F$13)</f>
        <v>173.8</v>
      </c>
      <c r="J24" s="106">
        <f ca="1">_xll.DBRW($C$9,$C$13,$D$13,$C24,J$18,$H$13,$J$13,$F$13)</f>
        <v>178.20000000000002</v>
      </c>
      <c r="K24" s="106">
        <f ca="1">_xll.DBRW($C$9,$C$13,$D$13,$C24,K$18,$H$13,$J$13,$F$13)</f>
        <v>167.20000000000002</v>
      </c>
      <c r="L24" s="106">
        <f ca="1">_xll.DBRW($C$9,$C$13,$D$13,$C24,L$18,$H$13,$J$13,$F$13)</f>
        <v>167.20000000000002</v>
      </c>
      <c r="M24" s="106">
        <f ca="1">_xll.DBRW($C$9,$C$13,$D$13,$C24,M$18,$H$13,$J$13,$F$13)</f>
        <v>172.70000000000002</v>
      </c>
      <c r="N24" s="106">
        <f ca="1">_xll.DBRW($C$9,$C$13,$D$13,$C24,N$18,$H$13,$J$13,$F$13)</f>
        <v>180.4</v>
      </c>
      <c r="O24" s="106">
        <f ca="1">_xll.DBRW($C$9,$C$13,$D$13,$C24,O$18,$H$13,$J$13,$F$13)</f>
        <v>183.70000000000002</v>
      </c>
      <c r="P24" s="106">
        <f ca="1">_xll.DBRW($C$9,$C$13,$D$13,$C24,P$18,$H$13,$J$13,$F$13)</f>
        <v>202.40000000000003</v>
      </c>
      <c r="Q24" s="55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  <c r="XF24" s="8"/>
      <c r="XG24" s="8"/>
      <c r="XH24" s="8"/>
      <c r="XI24" s="8"/>
      <c r="XJ24" s="8"/>
      <c r="XK24" s="8"/>
      <c r="XL24" s="8"/>
      <c r="XM24" s="8"/>
      <c r="XN24" s="8"/>
      <c r="XO24" s="8"/>
      <c r="XP24" s="8"/>
      <c r="XQ24" s="8"/>
      <c r="XR24" s="8"/>
      <c r="XS24" s="8"/>
      <c r="XT24" s="8"/>
      <c r="XU24" s="8"/>
      <c r="XV24" s="8"/>
      <c r="XW24" s="8"/>
      <c r="XX24" s="8"/>
      <c r="XY24" s="8"/>
      <c r="XZ24" s="8"/>
      <c r="YA24" s="8"/>
      <c r="YB24" s="8"/>
      <c r="YC24" s="8"/>
      <c r="YD24" s="8"/>
      <c r="YE24" s="8"/>
      <c r="YF24" s="8"/>
      <c r="YG24" s="8"/>
      <c r="YH24" s="8"/>
      <c r="YI24" s="8"/>
      <c r="YJ24" s="8"/>
      <c r="YK24" s="8"/>
      <c r="YL24" s="8"/>
      <c r="YM24" s="8"/>
      <c r="YN24" s="8"/>
      <c r="YO24" s="8"/>
      <c r="YP24" s="8"/>
      <c r="YQ24" s="8"/>
      <c r="YR24" s="8"/>
      <c r="YS24" s="8"/>
      <c r="YT24" s="8"/>
      <c r="YU24" s="8"/>
      <c r="YV24" s="8"/>
      <c r="YW24" s="8"/>
      <c r="YX24" s="8"/>
      <c r="YY24" s="8"/>
      <c r="YZ24" s="8"/>
      <c r="ZA24" s="8"/>
      <c r="ZB24" s="8"/>
      <c r="ZC24" s="8"/>
      <c r="ZD24" s="8"/>
      <c r="ZE24" s="8"/>
      <c r="ZF24" s="8"/>
      <c r="ZG24" s="8"/>
      <c r="ZH24" s="8"/>
      <c r="ZI24" s="8"/>
      <c r="ZJ24" s="8"/>
      <c r="ZK24" s="8"/>
      <c r="ZL24" s="8"/>
      <c r="ZM24" s="8"/>
      <c r="ZN24" s="8"/>
      <c r="ZO24" s="8"/>
      <c r="ZP24" s="8"/>
      <c r="ZQ24" s="8"/>
      <c r="ZR24" s="8"/>
      <c r="ZS24" s="8"/>
      <c r="ZT24" s="8"/>
      <c r="ZU24" s="8"/>
      <c r="ZV24" s="8"/>
      <c r="ZW24" s="8"/>
      <c r="ZX24" s="8"/>
      <c r="ZY24" s="8"/>
      <c r="ZZ24" s="8"/>
      <c r="AAA24" s="8"/>
      <c r="AAB24" s="8"/>
      <c r="AAC24" s="8"/>
      <c r="AAD24" s="8"/>
      <c r="AAE24" s="8"/>
      <c r="AAF24" s="8"/>
      <c r="AAG24" s="8"/>
      <c r="AAH24" s="8"/>
      <c r="AAI24" s="8"/>
      <c r="AAJ24" s="8"/>
      <c r="AAK24" s="8"/>
      <c r="AAL24" s="8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W24" s="8"/>
      <c r="AAX24" s="8"/>
      <c r="AAY24" s="8"/>
      <c r="AAZ24" s="8"/>
      <c r="ABA24" s="8"/>
      <c r="ABB24" s="8"/>
      <c r="ABC24" s="8"/>
      <c r="ABD24" s="8"/>
      <c r="ABE24" s="8"/>
      <c r="ABF24" s="8"/>
      <c r="ABG24" s="8"/>
      <c r="ABH24" s="8"/>
      <c r="ABI24" s="8"/>
      <c r="ABJ24" s="8"/>
      <c r="ABK24" s="8"/>
      <c r="ABL24" s="8"/>
      <c r="ABM24" s="8"/>
      <c r="ABN24" s="8"/>
      <c r="ABO24" s="8"/>
      <c r="ABP24" s="8"/>
      <c r="ABQ24" s="8"/>
      <c r="ABR24" s="8"/>
      <c r="ABS24" s="8"/>
      <c r="ABT24" s="8"/>
      <c r="ABU24" s="8"/>
      <c r="ABV24" s="8"/>
      <c r="ABW24" s="8"/>
      <c r="ABX24" s="8"/>
      <c r="ABY24" s="8"/>
      <c r="ABZ24" s="8"/>
      <c r="ACA24" s="8"/>
      <c r="ACB24" s="8"/>
      <c r="ACC24" s="8"/>
      <c r="ACD24" s="8"/>
      <c r="ACE24" s="8"/>
      <c r="ACF24" s="8"/>
      <c r="ACG24" s="8"/>
      <c r="ACH24" s="8"/>
      <c r="ACI24" s="8"/>
      <c r="ACJ24" s="8"/>
      <c r="ACK24" s="8"/>
      <c r="ACL24" s="8"/>
      <c r="ACM24" s="8"/>
      <c r="ACN24" s="8"/>
      <c r="ACO24" s="8"/>
      <c r="ACP24" s="8"/>
      <c r="ACQ24" s="8"/>
      <c r="ACR24" s="8"/>
      <c r="ACS24" s="8"/>
      <c r="ACT24" s="8"/>
      <c r="ACU24" s="8"/>
      <c r="ACV24" s="8"/>
      <c r="ACW24" s="8"/>
      <c r="ACX24" s="8"/>
      <c r="ACY24" s="8"/>
      <c r="ACZ24" s="8"/>
      <c r="ADA24" s="8"/>
      <c r="ADB24" s="8"/>
      <c r="ADC24" s="8"/>
      <c r="ADD24" s="8"/>
      <c r="ADE24" s="8"/>
      <c r="ADF24" s="8"/>
      <c r="ADG24" s="8"/>
      <c r="ADH24" s="8"/>
      <c r="ADI24" s="8"/>
      <c r="ADJ24" s="8"/>
      <c r="ADK24" s="8"/>
      <c r="ADL24" s="8"/>
      <c r="ADM24" s="8"/>
      <c r="ADN24" s="8"/>
      <c r="ADO24" s="8"/>
      <c r="ADP24" s="8"/>
      <c r="ADQ24" s="8"/>
      <c r="ADR24" s="8"/>
      <c r="ADS24" s="8"/>
      <c r="ADT24" s="8"/>
      <c r="ADU24" s="8"/>
      <c r="ADV24" s="8"/>
      <c r="ADW24" s="8"/>
      <c r="ADX24" s="8"/>
      <c r="ADY24" s="8"/>
      <c r="ADZ24" s="8"/>
      <c r="AEA24" s="8"/>
      <c r="AEB24" s="8"/>
      <c r="AEC24" s="8"/>
      <c r="AED24" s="8"/>
      <c r="AEE24" s="8"/>
      <c r="AEF24" s="8"/>
      <c r="AEG24" s="8"/>
      <c r="AEH24" s="8"/>
      <c r="AEI24" s="8"/>
      <c r="AEJ24" s="8"/>
      <c r="AEK24" s="8"/>
      <c r="AEL24" s="8"/>
      <c r="AEM24" s="8"/>
      <c r="AEN24" s="8"/>
      <c r="AEO24" s="8"/>
      <c r="AEP24" s="8"/>
      <c r="AEQ24" s="8"/>
      <c r="AER24" s="8"/>
      <c r="AES24" s="8"/>
      <c r="AET24" s="8"/>
      <c r="AEU24" s="8"/>
      <c r="AEV24" s="8"/>
      <c r="AEW24" s="8"/>
      <c r="AEX24" s="8"/>
      <c r="AEY24" s="8"/>
      <c r="AEZ24" s="8"/>
      <c r="AFA24" s="8"/>
      <c r="AFB24" s="8"/>
      <c r="AFC24" s="8"/>
      <c r="AFD24" s="8"/>
      <c r="AFE24" s="8"/>
      <c r="AFF24" s="8"/>
      <c r="AFG24" s="8"/>
      <c r="AFH24" s="8"/>
      <c r="AFI24" s="8"/>
      <c r="AFJ24" s="8"/>
      <c r="AFK24" s="8"/>
      <c r="AFL24" s="8"/>
      <c r="AFM24" s="8"/>
      <c r="AFN24" s="8"/>
      <c r="AFO24" s="8"/>
      <c r="AFP24" s="8"/>
      <c r="AFQ24" s="8"/>
      <c r="AFR24" s="8"/>
      <c r="AFS24" s="8"/>
      <c r="AFT24" s="8"/>
      <c r="AFU24" s="8"/>
      <c r="AFV24" s="8"/>
      <c r="AFW24" s="8"/>
      <c r="AFX24" s="8"/>
      <c r="AFY24" s="8"/>
      <c r="AFZ24" s="8"/>
      <c r="AGA24" s="8"/>
      <c r="AGB24" s="8"/>
      <c r="AGC24" s="8"/>
      <c r="AGD24" s="8"/>
      <c r="AGE24" s="8"/>
      <c r="AGF24" s="8"/>
      <c r="AGG24" s="8"/>
      <c r="AGH24" s="8"/>
      <c r="AGI24" s="8"/>
      <c r="AGJ24" s="8"/>
      <c r="AGK24" s="8"/>
      <c r="AGL24" s="8"/>
      <c r="AGM24" s="8"/>
      <c r="AGN24" s="8"/>
      <c r="AGO24" s="8"/>
      <c r="AGP24" s="8"/>
      <c r="AGQ24" s="8"/>
      <c r="AGR24" s="8"/>
      <c r="AGS24" s="8"/>
      <c r="AGT24" s="8"/>
      <c r="AGU24" s="8"/>
      <c r="AGV24" s="8"/>
      <c r="AGW24" s="8"/>
      <c r="AGX24" s="8"/>
      <c r="AGY24" s="8"/>
      <c r="AGZ24" s="8"/>
      <c r="AHA24" s="8"/>
      <c r="AHB24" s="8"/>
      <c r="AHC24" s="8"/>
      <c r="AHD24" s="8"/>
      <c r="AHE24" s="8"/>
      <c r="AHF24" s="8"/>
      <c r="AHG24" s="8"/>
      <c r="AHH24" s="8"/>
      <c r="AHI24" s="8"/>
      <c r="AHJ24" s="8"/>
      <c r="AHK24" s="8"/>
      <c r="AHL24" s="8"/>
      <c r="AHM24" s="8"/>
      <c r="AHN24" s="8"/>
      <c r="AHO24" s="8"/>
      <c r="AHP24" s="8"/>
      <c r="AHQ24" s="8"/>
      <c r="AHR24" s="8"/>
      <c r="AHS24" s="8"/>
      <c r="AHT24" s="8"/>
      <c r="AHU24" s="8"/>
      <c r="AHV24" s="8"/>
      <c r="AHW24" s="8"/>
      <c r="AHX24" s="8"/>
      <c r="AHY24" s="8"/>
      <c r="AHZ24" s="8"/>
      <c r="AIA24" s="8"/>
      <c r="AIB24" s="8"/>
      <c r="AIC24" s="8"/>
      <c r="AID24" s="8"/>
      <c r="AIE24" s="8"/>
      <c r="AIF24" s="8"/>
      <c r="AIG24" s="8"/>
      <c r="AIH24" s="8"/>
      <c r="AII24" s="8"/>
      <c r="AIJ24" s="8"/>
      <c r="AIK24" s="8"/>
      <c r="AIL24" s="8"/>
      <c r="AIM24" s="8"/>
      <c r="AIN24" s="8"/>
      <c r="AIO24" s="8"/>
      <c r="AIP24" s="8"/>
      <c r="AIQ24" s="8"/>
      <c r="AIR24" s="8"/>
      <c r="AIS24" s="8"/>
      <c r="AIT24" s="8"/>
      <c r="AIU24" s="8"/>
      <c r="AIV24" s="8"/>
      <c r="AIW24" s="8"/>
      <c r="AIX24" s="8"/>
      <c r="AIY24" s="8"/>
      <c r="AIZ24" s="8"/>
      <c r="AJA24" s="8"/>
      <c r="AJB24" s="8"/>
      <c r="AJC24" s="8"/>
      <c r="AJD24" s="8"/>
      <c r="AJE24" s="8"/>
      <c r="AJF24" s="8"/>
      <c r="AJG24" s="8"/>
      <c r="AJH24" s="8"/>
      <c r="AJI24" s="8"/>
      <c r="AJJ24" s="8"/>
      <c r="AJK24" s="8"/>
      <c r="AJL24" s="8"/>
      <c r="AJM24" s="8"/>
      <c r="AJN24" s="8"/>
      <c r="AJO24" s="8"/>
      <c r="AJP24" s="8"/>
      <c r="AJQ24" s="8"/>
      <c r="AJR24" s="8"/>
      <c r="AJS24" s="8"/>
      <c r="AJT24" s="8"/>
      <c r="AJU24" s="8"/>
      <c r="AJV24" s="8"/>
      <c r="AJW24" s="8"/>
      <c r="AJX24" s="8"/>
      <c r="AJY24" s="8"/>
      <c r="AJZ24" s="8"/>
      <c r="AKA24" s="8"/>
      <c r="AKB24" s="8"/>
      <c r="AKC24" s="8"/>
      <c r="AKD24" s="8"/>
      <c r="AKE24" s="8"/>
      <c r="AKF24" s="8"/>
      <c r="AKG24" s="8"/>
      <c r="AKH24" s="8"/>
      <c r="AKI24" s="8"/>
      <c r="AKJ24" s="8"/>
      <c r="AKK24" s="8"/>
      <c r="AKL24" s="8"/>
      <c r="AKM24" s="8"/>
      <c r="AKN24" s="8"/>
      <c r="AKO24" s="8"/>
      <c r="AKP24" s="8"/>
      <c r="AKQ24" s="8"/>
      <c r="AKR24" s="8"/>
      <c r="AKS24" s="8"/>
      <c r="AKT24" s="8"/>
      <c r="AKU24" s="8"/>
      <c r="AKV24" s="8"/>
      <c r="AKW24" s="8"/>
      <c r="AKX24" s="8"/>
      <c r="AKY24" s="8"/>
      <c r="AKZ24" s="8"/>
      <c r="ALA24" s="8"/>
      <c r="ALB24" s="8"/>
      <c r="ALC24" s="8"/>
      <c r="ALD24" s="8"/>
      <c r="ALE24" s="8"/>
      <c r="ALF24" s="8"/>
      <c r="ALG24" s="8"/>
      <c r="ALH24" s="8"/>
      <c r="ALI24" s="8"/>
      <c r="ALJ24" s="8"/>
      <c r="ALK24" s="8"/>
      <c r="ALL24" s="8"/>
    </row>
    <row r="25" spans="1:1000" ht="15" customHeight="1" x14ac:dyDescent="0.25">
      <c r="A25">
        <f ca="1">IF(_xll.TM1RPTELISCONSOLIDATED($C$19,$C25),IF(_xll.TM1RPTELLEV($C$19,$C25)&lt;=3,_xll.TM1RPTELLEV($C$19,$C25),"D"),IF($F$13="Units Sold","D","N"))</f>
        <v>2</v>
      </c>
      <c r="C25" s="36" t="s">
        <v>70</v>
      </c>
      <c r="D25" s="111">
        <f ca="1">_xll.DBRW($C$9,$C$13,$D$13,$C25,D$18,$H$13,$J$13,$F$13)</f>
        <v>299.20000000000005</v>
      </c>
      <c r="E25" s="76">
        <f ca="1">_xll.DBRW($C$9,$C$13,$D$13,$C25,E$18,$H$13,$J$13,$F$13)</f>
        <v>19.8</v>
      </c>
      <c r="F25" s="76">
        <f ca="1">_xll.DBRW($C$9,$C$13,$D$13,$C25,F$18,$H$13,$J$13,$F$13)</f>
        <v>23.1</v>
      </c>
      <c r="G25" s="76">
        <f ca="1">_xll.DBRW($C$9,$C$13,$D$13,$C25,G$18,$H$13,$J$13,$F$13)</f>
        <v>23.1</v>
      </c>
      <c r="H25" s="76">
        <f ca="1">_xll.DBRW($C$9,$C$13,$D$13,$C25,H$18,$H$13,$J$13,$F$13)</f>
        <v>23.1</v>
      </c>
      <c r="I25" s="76">
        <f ca="1">_xll.DBRW($C$9,$C$13,$D$13,$C25,I$18,$H$13,$J$13,$F$13)</f>
        <v>25.3</v>
      </c>
      <c r="J25" s="76">
        <f ca="1">_xll.DBRW($C$9,$C$13,$D$13,$C25,J$18,$H$13,$J$13,$F$13)</f>
        <v>25.3</v>
      </c>
      <c r="K25" s="76">
        <f ca="1">_xll.DBRW($C$9,$C$13,$D$13,$C25,K$18,$H$13,$J$13,$F$13)</f>
        <v>25.3</v>
      </c>
      <c r="L25" s="76">
        <f ca="1">_xll.DBRW($C$9,$C$13,$D$13,$C25,L$18,$H$13,$J$13,$F$13)</f>
        <v>25.3</v>
      </c>
      <c r="M25" s="76">
        <f ca="1">_xll.DBRW($C$9,$C$13,$D$13,$C25,M$18,$H$13,$J$13,$F$13)</f>
        <v>26.400000000000002</v>
      </c>
      <c r="N25" s="76">
        <f ca="1">_xll.DBRW($C$9,$C$13,$D$13,$C25,N$18,$H$13,$J$13,$F$13)</f>
        <v>26.400000000000002</v>
      </c>
      <c r="O25" s="76">
        <f ca="1">_xll.DBRW($C$9,$C$13,$D$13,$C25,O$18,$H$13,$J$13,$F$13)</f>
        <v>27.500000000000004</v>
      </c>
      <c r="P25" s="76">
        <f ca="1">_xll.DBRW($C$9,$C$13,$D$13,$C25,P$18,$H$13,$J$13,$F$13)</f>
        <v>28.6</v>
      </c>
      <c r="Q25" s="55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</row>
    <row r="26" spans="1:1000" ht="15" customHeight="1" x14ac:dyDescent="0.25">
      <c r="A26">
        <f ca="1">IF(_xll.TM1RPTELISCONSOLIDATED($C$19,$C26),IF(_xll.TM1RPTELLEV($C$19,$C26)&lt;=3,_xll.TM1RPTELLEV($C$19,$C26),"D"),IF($F$13="Units Sold","D","N"))</f>
        <v>2</v>
      </c>
      <c r="C26" s="36" t="s">
        <v>71</v>
      </c>
      <c r="D26" s="111">
        <f ca="1">_xll.DBRW($C$9,$C$13,$D$13,$C26,D$18,$H$13,$J$13,$F$13)</f>
        <v>1354.1000000000004</v>
      </c>
      <c r="E26" s="76">
        <f ca="1">_xll.DBRW($C$9,$C$13,$D$13,$C26,E$18,$H$13,$J$13,$F$13)</f>
        <v>74.800000000000011</v>
      </c>
      <c r="F26" s="76">
        <f ca="1">_xll.DBRW($C$9,$C$13,$D$13,$C26,F$18,$H$13,$J$13,$F$13)</f>
        <v>94.600000000000009</v>
      </c>
      <c r="G26" s="76">
        <f ca="1">_xll.DBRW($C$9,$C$13,$D$13,$C26,G$18,$H$13,$J$13,$F$13)</f>
        <v>107.80000000000001</v>
      </c>
      <c r="H26" s="76">
        <f ca="1">_xll.DBRW($C$9,$C$13,$D$13,$C26,H$18,$H$13,$J$13,$F$13)</f>
        <v>116.60000000000001</v>
      </c>
      <c r="I26" s="76">
        <f ca="1">_xll.DBRW($C$9,$C$13,$D$13,$C26,I$18,$H$13,$J$13,$F$13)</f>
        <v>117.7</v>
      </c>
      <c r="J26" s="76">
        <f ca="1">_xll.DBRW($C$9,$C$13,$D$13,$C26,J$18,$H$13,$J$13,$F$13)</f>
        <v>122.10000000000001</v>
      </c>
      <c r="K26" s="76">
        <f ca="1">_xll.DBRW($C$9,$C$13,$D$13,$C26,K$18,$H$13,$J$13,$F$13)</f>
        <v>111.10000000000001</v>
      </c>
      <c r="L26" s="76">
        <f ca="1">_xll.DBRW($C$9,$C$13,$D$13,$C26,L$18,$H$13,$J$13,$F$13)</f>
        <v>111.10000000000002</v>
      </c>
      <c r="M26" s="76">
        <f ca="1">_xll.DBRW($C$9,$C$13,$D$13,$C26,M$18,$H$13,$J$13,$F$13)</f>
        <v>113.30000000000001</v>
      </c>
      <c r="N26" s="76">
        <f ca="1">_xll.DBRW($C$9,$C$13,$D$13,$C26,N$18,$H$13,$J$13,$F$13)</f>
        <v>121.00000000000001</v>
      </c>
      <c r="O26" s="76">
        <f ca="1">_xll.DBRW($C$9,$C$13,$D$13,$C26,O$18,$H$13,$J$13,$F$13)</f>
        <v>123.20000000000002</v>
      </c>
      <c r="P26" s="76">
        <f ca="1">_xll.DBRW($C$9,$C$13,$D$13,$C26,P$18,$H$13,$J$13,$F$13)</f>
        <v>140.80000000000001</v>
      </c>
      <c r="Q26" s="55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  <c r="XF26" s="8"/>
      <c r="XG26" s="8"/>
      <c r="XH26" s="8"/>
      <c r="XI26" s="8"/>
      <c r="XJ26" s="8"/>
      <c r="XK26" s="8"/>
      <c r="XL26" s="8"/>
      <c r="XM26" s="8"/>
      <c r="XN26" s="8"/>
      <c r="XO26" s="8"/>
      <c r="XP26" s="8"/>
      <c r="XQ26" s="8"/>
      <c r="XR26" s="8"/>
      <c r="XS26" s="8"/>
      <c r="XT26" s="8"/>
      <c r="XU26" s="8"/>
      <c r="XV26" s="8"/>
      <c r="XW26" s="8"/>
      <c r="XX26" s="8"/>
      <c r="XY26" s="8"/>
      <c r="XZ26" s="8"/>
      <c r="YA26" s="8"/>
      <c r="YB26" s="8"/>
      <c r="YC26" s="8"/>
      <c r="YD26" s="8"/>
      <c r="YE26" s="8"/>
      <c r="YF26" s="8"/>
      <c r="YG26" s="8"/>
      <c r="YH26" s="8"/>
      <c r="YI26" s="8"/>
      <c r="YJ26" s="8"/>
      <c r="YK26" s="8"/>
      <c r="YL26" s="8"/>
      <c r="YM26" s="8"/>
      <c r="YN26" s="8"/>
      <c r="YO26" s="8"/>
      <c r="YP26" s="8"/>
      <c r="YQ26" s="8"/>
      <c r="YR26" s="8"/>
      <c r="YS26" s="8"/>
      <c r="YT26" s="8"/>
      <c r="YU26" s="8"/>
      <c r="YV26" s="8"/>
      <c r="YW26" s="8"/>
      <c r="YX26" s="8"/>
      <c r="YY26" s="8"/>
      <c r="YZ26" s="8"/>
      <c r="ZA26" s="8"/>
      <c r="ZB26" s="8"/>
      <c r="ZC26" s="8"/>
      <c r="ZD26" s="8"/>
      <c r="ZE26" s="8"/>
      <c r="ZF26" s="8"/>
      <c r="ZG26" s="8"/>
      <c r="ZH26" s="8"/>
      <c r="ZI26" s="8"/>
      <c r="ZJ26" s="8"/>
      <c r="ZK26" s="8"/>
      <c r="ZL26" s="8"/>
      <c r="ZM26" s="8"/>
      <c r="ZN26" s="8"/>
      <c r="ZO26" s="8"/>
      <c r="ZP26" s="8"/>
      <c r="ZQ26" s="8"/>
      <c r="ZR26" s="8"/>
      <c r="ZS26" s="8"/>
      <c r="ZT26" s="8"/>
      <c r="ZU26" s="8"/>
      <c r="ZV26" s="8"/>
      <c r="ZW26" s="8"/>
      <c r="ZX26" s="8"/>
      <c r="ZY26" s="8"/>
      <c r="ZZ26" s="8"/>
      <c r="AAA26" s="8"/>
      <c r="AAB26" s="8"/>
      <c r="AAC26" s="8"/>
      <c r="AAD26" s="8"/>
      <c r="AAE26" s="8"/>
      <c r="AAF26" s="8"/>
      <c r="AAG26" s="8"/>
      <c r="AAH26" s="8"/>
      <c r="AAI26" s="8"/>
      <c r="AAJ26" s="8"/>
      <c r="AAK26" s="8"/>
      <c r="AAL26" s="8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8"/>
      <c r="AAX26" s="8"/>
      <c r="AAY26" s="8"/>
      <c r="AAZ26" s="8"/>
      <c r="ABA26" s="8"/>
      <c r="ABB26" s="8"/>
      <c r="ABC26" s="8"/>
      <c r="ABD26" s="8"/>
      <c r="ABE26" s="8"/>
      <c r="ABF26" s="8"/>
      <c r="ABG26" s="8"/>
      <c r="ABH26" s="8"/>
      <c r="ABI26" s="8"/>
      <c r="ABJ26" s="8"/>
      <c r="ABK26" s="8"/>
      <c r="ABL26" s="8"/>
      <c r="ABM26" s="8"/>
      <c r="ABN26" s="8"/>
      <c r="ABO26" s="8"/>
      <c r="ABP26" s="8"/>
      <c r="ABQ26" s="8"/>
      <c r="ABR26" s="8"/>
      <c r="ABS26" s="8"/>
      <c r="ABT26" s="8"/>
      <c r="ABU26" s="8"/>
      <c r="ABV26" s="8"/>
      <c r="ABW26" s="8"/>
      <c r="ABX26" s="8"/>
      <c r="ABY26" s="8"/>
      <c r="ABZ26" s="8"/>
      <c r="ACA26" s="8"/>
      <c r="ACB26" s="8"/>
      <c r="ACC26" s="8"/>
      <c r="ACD26" s="8"/>
      <c r="ACE26" s="8"/>
      <c r="ACF26" s="8"/>
      <c r="ACG26" s="8"/>
      <c r="ACH26" s="8"/>
      <c r="ACI26" s="8"/>
      <c r="ACJ26" s="8"/>
      <c r="ACK26" s="8"/>
      <c r="ACL26" s="8"/>
      <c r="ACM26" s="8"/>
      <c r="ACN26" s="8"/>
      <c r="ACO26" s="8"/>
      <c r="ACP26" s="8"/>
      <c r="ACQ26" s="8"/>
      <c r="ACR26" s="8"/>
      <c r="ACS26" s="8"/>
      <c r="ACT26" s="8"/>
      <c r="ACU26" s="8"/>
      <c r="ACV26" s="8"/>
      <c r="ACW26" s="8"/>
      <c r="ACX26" s="8"/>
      <c r="ACY26" s="8"/>
      <c r="ACZ26" s="8"/>
      <c r="ADA26" s="8"/>
      <c r="ADB26" s="8"/>
      <c r="ADC26" s="8"/>
      <c r="ADD26" s="8"/>
      <c r="ADE26" s="8"/>
      <c r="ADF26" s="8"/>
      <c r="ADG26" s="8"/>
      <c r="ADH26" s="8"/>
      <c r="ADI26" s="8"/>
      <c r="ADJ26" s="8"/>
      <c r="ADK26" s="8"/>
      <c r="ADL26" s="8"/>
      <c r="ADM26" s="8"/>
      <c r="ADN26" s="8"/>
      <c r="ADO26" s="8"/>
      <c r="ADP26" s="8"/>
      <c r="ADQ26" s="8"/>
      <c r="ADR26" s="8"/>
      <c r="ADS26" s="8"/>
      <c r="ADT26" s="8"/>
      <c r="ADU26" s="8"/>
      <c r="ADV26" s="8"/>
      <c r="ADW26" s="8"/>
      <c r="ADX26" s="8"/>
      <c r="ADY26" s="8"/>
      <c r="ADZ26" s="8"/>
      <c r="AEA26" s="8"/>
      <c r="AEB26" s="8"/>
      <c r="AEC26" s="8"/>
      <c r="AED26" s="8"/>
      <c r="AEE26" s="8"/>
      <c r="AEF26" s="8"/>
      <c r="AEG26" s="8"/>
      <c r="AEH26" s="8"/>
      <c r="AEI26" s="8"/>
      <c r="AEJ26" s="8"/>
      <c r="AEK26" s="8"/>
      <c r="AEL26" s="8"/>
      <c r="AEM26" s="8"/>
      <c r="AEN26" s="8"/>
      <c r="AEO26" s="8"/>
      <c r="AEP26" s="8"/>
      <c r="AEQ26" s="8"/>
      <c r="AER26" s="8"/>
      <c r="AES26" s="8"/>
      <c r="AET26" s="8"/>
      <c r="AEU26" s="8"/>
      <c r="AEV26" s="8"/>
      <c r="AEW26" s="8"/>
      <c r="AEX26" s="8"/>
      <c r="AEY26" s="8"/>
      <c r="AEZ26" s="8"/>
      <c r="AFA26" s="8"/>
      <c r="AFB26" s="8"/>
      <c r="AFC26" s="8"/>
      <c r="AFD26" s="8"/>
      <c r="AFE26" s="8"/>
      <c r="AFF26" s="8"/>
      <c r="AFG26" s="8"/>
      <c r="AFH26" s="8"/>
      <c r="AFI26" s="8"/>
      <c r="AFJ26" s="8"/>
      <c r="AFK26" s="8"/>
      <c r="AFL26" s="8"/>
      <c r="AFM26" s="8"/>
      <c r="AFN26" s="8"/>
      <c r="AFO26" s="8"/>
      <c r="AFP26" s="8"/>
      <c r="AFQ26" s="8"/>
      <c r="AFR26" s="8"/>
      <c r="AFS26" s="8"/>
      <c r="AFT26" s="8"/>
      <c r="AFU26" s="8"/>
      <c r="AFV26" s="8"/>
      <c r="AFW26" s="8"/>
      <c r="AFX26" s="8"/>
      <c r="AFY26" s="8"/>
      <c r="AFZ26" s="8"/>
      <c r="AGA26" s="8"/>
      <c r="AGB26" s="8"/>
      <c r="AGC26" s="8"/>
      <c r="AGD26" s="8"/>
      <c r="AGE26" s="8"/>
      <c r="AGF26" s="8"/>
      <c r="AGG26" s="8"/>
      <c r="AGH26" s="8"/>
      <c r="AGI26" s="8"/>
      <c r="AGJ26" s="8"/>
      <c r="AGK26" s="8"/>
      <c r="AGL26" s="8"/>
      <c r="AGM26" s="8"/>
      <c r="AGN26" s="8"/>
      <c r="AGO26" s="8"/>
      <c r="AGP26" s="8"/>
      <c r="AGQ26" s="8"/>
      <c r="AGR26" s="8"/>
      <c r="AGS26" s="8"/>
      <c r="AGT26" s="8"/>
      <c r="AGU26" s="8"/>
      <c r="AGV26" s="8"/>
      <c r="AGW26" s="8"/>
      <c r="AGX26" s="8"/>
      <c r="AGY26" s="8"/>
      <c r="AGZ26" s="8"/>
      <c r="AHA26" s="8"/>
      <c r="AHB26" s="8"/>
      <c r="AHC26" s="8"/>
      <c r="AHD26" s="8"/>
      <c r="AHE26" s="8"/>
      <c r="AHF26" s="8"/>
      <c r="AHG26" s="8"/>
      <c r="AHH26" s="8"/>
      <c r="AHI26" s="8"/>
      <c r="AHJ26" s="8"/>
      <c r="AHK26" s="8"/>
      <c r="AHL26" s="8"/>
      <c r="AHM26" s="8"/>
      <c r="AHN26" s="8"/>
      <c r="AHO26" s="8"/>
      <c r="AHP26" s="8"/>
      <c r="AHQ26" s="8"/>
      <c r="AHR26" s="8"/>
      <c r="AHS26" s="8"/>
      <c r="AHT26" s="8"/>
      <c r="AHU26" s="8"/>
      <c r="AHV26" s="8"/>
      <c r="AHW26" s="8"/>
      <c r="AHX26" s="8"/>
      <c r="AHY26" s="8"/>
      <c r="AHZ26" s="8"/>
      <c r="AIA26" s="8"/>
      <c r="AIB26" s="8"/>
      <c r="AIC26" s="8"/>
      <c r="AID26" s="8"/>
      <c r="AIE26" s="8"/>
      <c r="AIF26" s="8"/>
      <c r="AIG26" s="8"/>
      <c r="AIH26" s="8"/>
      <c r="AII26" s="8"/>
      <c r="AIJ26" s="8"/>
      <c r="AIK26" s="8"/>
      <c r="AIL26" s="8"/>
      <c r="AIM26" s="8"/>
      <c r="AIN26" s="8"/>
      <c r="AIO26" s="8"/>
      <c r="AIP26" s="8"/>
      <c r="AIQ26" s="8"/>
      <c r="AIR26" s="8"/>
      <c r="AIS26" s="8"/>
      <c r="AIT26" s="8"/>
      <c r="AIU26" s="8"/>
      <c r="AIV26" s="8"/>
      <c r="AIW26" s="8"/>
      <c r="AIX26" s="8"/>
      <c r="AIY26" s="8"/>
      <c r="AIZ26" s="8"/>
      <c r="AJA26" s="8"/>
      <c r="AJB26" s="8"/>
      <c r="AJC26" s="8"/>
      <c r="AJD26" s="8"/>
      <c r="AJE26" s="8"/>
      <c r="AJF26" s="8"/>
      <c r="AJG26" s="8"/>
      <c r="AJH26" s="8"/>
      <c r="AJI26" s="8"/>
      <c r="AJJ26" s="8"/>
      <c r="AJK26" s="8"/>
      <c r="AJL26" s="8"/>
      <c r="AJM26" s="8"/>
      <c r="AJN26" s="8"/>
      <c r="AJO26" s="8"/>
      <c r="AJP26" s="8"/>
      <c r="AJQ26" s="8"/>
      <c r="AJR26" s="8"/>
      <c r="AJS26" s="8"/>
      <c r="AJT26" s="8"/>
      <c r="AJU26" s="8"/>
      <c r="AJV26" s="8"/>
      <c r="AJW26" s="8"/>
      <c r="AJX26" s="8"/>
      <c r="AJY26" s="8"/>
      <c r="AJZ26" s="8"/>
      <c r="AKA26" s="8"/>
      <c r="AKB26" s="8"/>
      <c r="AKC26" s="8"/>
      <c r="AKD26" s="8"/>
      <c r="AKE26" s="8"/>
      <c r="AKF26" s="8"/>
      <c r="AKG26" s="8"/>
      <c r="AKH26" s="8"/>
      <c r="AKI26" s="8"/>
      <c r="AKJ26" s="8"/>
      <c r="AKK26" s="8"/>
      <c r="AKL26" s="8"/>
      <c r="AKM26" s="8"/>
      <c r="AKN26" s="8"/>
      <c r="AKO26" s="8"/>
      <c r="AKP26" s="8"/>
      <c r="AKQ26" s="8"/>
      <c r="AKR26" s="8"/>
      <c r="AKS26" s="8"/>
      <c r="AKT26" s="8"/>
      <c r="AKU26" s="8"/>
      <c r="AKV26" s="8"/>
      <c r="AKW26" s="8"/>
      <c r="AKX26" s="8"/>
      <c r="AKY26" s="8"/>
      <c r="AKZ26" s="8"/>
      <c r="ALA26" s="8"/>
      <c r="ALB26" s="8"/>
      <c r="ALC26" s="8"/>
      <c r="ALD26" s="8"/>
      <c r="ALE26" s="8"/>
      <c r="ALF26" s="8"/>
      <c r="ALG26" s="8"/>
      <c r="ALH26" s="8"/>
      <c r="ALI26" s="8"/>
      <c r="ALJ26" s="8"/>
      <c r="ALK26" s="8"/>
      <c r="ALL26" s="8"/>
    </row>
    <row r="27" spans="1:1000" ht="15" customHeight="1" x14ac:dyDescent="0.25">
      <c r="A27">
        <f ca="1">IF(_xll.TM1RPTELISCONSOLIDATED($C$19,$C27),IF(_xll.TM1RPTELLEV($C$19,$C27)&lt;=3,_xll.TM1RPTELLEV($C$19,$C27),"D"),IF($F$13="Units Sold","D","N"))</f>
        <v>2</v>
      </c>
      <c r="C27" s="36" t="s">
        <v>72</v>
      </c>
      <c r="D27" s="111">
        <f ca="1">_xll.DBRW($C$9,$C$13,$D$13,$C27,D$18,$H$13,$J$13,$F$13)</f>
        <v>380.59999999999997</v>
      </c>
      <c r="E27" s="76">
        <f ca="1">_xll.DBRW($C$9,$C$13,$D$13,$C27,E$18,$H$13,$J$13,$F$13)</f>
        <v>31.900000000000002</v>
      </c>
      <c r="F27" s="76">
        <f ca="1">_xll.DBRW($C$9,$C$13,$D$13,$C27,F$18,$H$13,$J$13,$F$13)</f>
        <v>31.900000000000002</v>
      </c>
      <c r="G27" s="76">
        <f ca="1">_xll.DBRW($C$9,$C$13,$D$13,$C27,G$18,$H$13,$J$13,$F$13)</f>
        <v>30.8</v>
      </c>
      <c r="H27" s="76">
        <f ca="1">_xll.DBRW($C$9,$C$13,$D$13,$C27,H$18,$H$13,$J$13,$F$13)</f>
        <v>30.8</v>
      </c>
      <c r="I27" s="76">
        <f ca="1">_xll.DBRW($C$9,$C$13,$D$13,$C27,I$18,$H$13,$J$13,$F$13)</f>
        <v>30.8</v>
      </c>
      <c r="J27" s="76">
        <f ca="1">_xll.DBRW($C$9,$C$13,$D$13,$C27,J$18,$H$13,$J$13,$F$13)</f>
        <v>30.8</v>
      </c>
      <c r="K27" s="76">
        <f ca="1">_xll.DBRW($C$9,$C$13,$D$13,$C27,K$18,$H$13,$J$13,$F$13)</f>
        <v>30.8</v>
      </c>
      <c r="L27" s="76">
        <f ca="1">_xll.DBRW($C$9,$C$13,$D$13,$C27,L$18,$H$13,$J$13,$F$13)</f>
        <v>30.8</v>
      </c>
      <c r="M27" s="76">
        <f ca="1">_xll.DBRW($C$9,$C$13,$D$13,$C27,M$18,$H$13,$J$13,$F$13)</f>
        <v>33</v>
      </c>
      <c r="N27" s="76">
        <f ca="1">_xll.DBRW($C$9,$C$13,$D$13,$C27,N$18,$H$13,$J$13,$F$13)</f>
        <v>33</v>
      </c>
      <c r="O27" s="76">
        <f ca="1">_xll.DBRW($C$9,$C$13,$D$13,$C27,O$18,$H$13,$J$13,$F$13)</f>
        <v>33</v>
      </c>
      <c r="P27" s="76">
        <f ca="1">_xll.DBRW($C$9,$C$13,$D$13,$C27,P$18,$H$13,$J$13,$F$13)</f>
        <v>33</v>
      </c>
      <c r="Q27" s="55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  <c r="XU27" s="8"/>
      <c r="XV27" s="8"/>
      <c r="XW27" s="8"/>
      <c r="XX27" s="8"/>
      <c r="XY27" s="8"/>
      <c r="XZ27" s="8"/>
      <c r="YA27" s="8"/>
      <c r="YB27" s="8"/>
      <c r="YC27" s="8"/>
      <c r="YD27" s="8"/>
      <c r="YE27" s="8"/>
      <c r="YF27" s="8"/>
      <c r="YG27" s="8"/>
      <c r="YH27" s="8"/>
      <c r="YI27" s="8"/>
      <c r="YJ27" s="8"/>
      <c r="YK27" s="8"/>
      <c r="YL27" s="8"/>
      <c r="YM27" s="8"/>
      <c r="YN27" s="8"/>
      <c r="YO27" s="8"/>
      <c r="YP27" s="8"/>
      <c r="YQ27" s="8"/>
      <c r="YR27" s="8"/>
      <c r="YS27" s="8"/>
      <c r="YT27" s="8"/>
      <c r="YU27" s="8"/>
      <c r="YV27" s="8"/>
      <c r="YW27" s="8"/>
      <c r="YX27" s="8"/>
      <c r="YY27" s="8"/>
      <c r="YZ27" s="8"/>
      <c r="ZA27" s="8"/>
      <c r="ZB27" s="8"/>
      <c r="ZC27" s="8"/>
      <c r="ZD27" s="8"/>
      <c r="ZE27" s="8"/>
      <c r="ZF27" s="8"/>
      <c r="ZG27" s="8"/>
      <c r="ZH27" s="8"/>
      <c r="ZI27" s="8"/>
      <c r="ZJ27" s="8"/>
      <c r="ZK27" s="8"/>
      <c r="ZL27" s="8"/>
      <c r="ZM27" s="8"/>
      <c r="ZN27" s="8"/>
      <c r="ZO27" s="8"/>
      <c r="ZP27" s="8"/>
      <c r="ZQ27" s="8"/>
      <c r="ZR27" s="8"/>
      <c r="ZS27" s="8"/>
      <c r="ZT27" s="8"/>
      <c r="ZU27" s="8"/>
      <c r="ZV27" s="8"/>
      <c r="ZW27" s="8"/>
      <c r="ZX27" s="8"/>
      <c r="ZY27" s="8"/>
      <c r="ZZ27" s="8"/>
      <c r="AAA27" s="8"/>
      <c r="AAB27" s="8"/>
      <c r="AAC27" s="8"/>
      <c r="AAD27" s="8"/>
      <c r="AAE27" s="8"/>
      <c r="AAF27" s="8"/>
      <c r="AAG27" s="8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T27" s="8"/>
      <c r="AAU27" s="8"/>
      <c r="AAV27" s="8"/>
      <c r="AAW27" s="8"/>
      <c r="AAX27" s="8"/>
      <c r="AAY27" s="8"/>
      <c r="AAZ27" s="8"/>
      <c r="ABA27" s="8"/>
      <c r="ABB27" s="8"/>
      <c r="ABC27" s="8"/>
      <c r="ABD27" s="8"/>
      <c r="ABE27" s="8"/>
      <c r="ABF27" s="8"/>
      <c r="ABG27" s="8"/>
      <c r="ABH27" s="8"/>
      <c r="ABI27" s="8"/>
      <c r="ABJ27" s="8"/>
      <c r="ABK27" s="8"/>
      <c r="ABL27" s="8"/>
      <c r="ABM27" s="8"/>
      <c r="ABN27" s="8"/>
      <c r="ABO27" s="8"/>
      <c r="ABP27" s="8"/>
      <c r="ABQ27" s="8"/>
      <c r="ABR27" s="8"/>
      <c r="ABS27" s="8"/>
      <c r="ABT27" s="8"/>
      <c r="ABU27" s="8"/>
      <c r="ABV27" s="8"/>
      <c r="ABW27" s="8"/>
      <c r="ABX27" s="8"/>
      <c r="ABY27" s="8"/>
      <c r="ABZ27" s="8"/>
      <c r="ACA27" s="8"/>
      <c r="ACB27" s="8"/>
      <c r="ACC27" s="8"/>
      <c r="ACD27" s="8"/>
      <c r="ACE27" s="8"/>
      <c r="ACF27" s="8"/>
      <c r="ACG27" s="8"/>
      <c r="ACH27" s="8"/>
      <c r="ACI27" s="8"/>
      <c r="ACJ27" s="8"/>
      <c r="ACK27" s="8"/>
      <c r="ACL27" s="8"/>
      <c r="ACM27" s="8"/>
      <c r="ACN27" s="8"/>
      <c r="ACO27" s="8"/>
      <c r="ACP27" s="8"/>
      <c r="ACQ27" s="8"/>
      <c r="ACR27" s="8"/>
      <c r="ACS27" s="8"/>
      <c r="ACT27" s="8"/>
      <c r="ACU27" s="8"/>
      <c r="ACV27" s="8"/>
      <c r="ACW27" s="8"/>
      <c r="ACX27" s="8"/>
      <c r="ACY27" s="8"/>
      <c r="ACZ27" s="8"/>
      <c r="ADA27" s="8"/>
      <c r="ADB27" s="8"/>
      <c r="ADC27" s="8"/>
      <c r="ADD27" s="8"/>
      <c r="ADE27" s="8"/>
      <c r="ADF27" s="8"/>
      <c r="ADG27" s="8"/>
      <c r="ADH27" s="8"/>
      <c r="ADI27" s="8"/>
      <c r="ADJ27" s="8"/>
      <c r="ADK27" s="8"/>
      <c r="ADL27" s="8"/>
      <c r="ADM27" s="8"/>
      <c r="ADN27" s="8"/>
      <c r="ADO27" s="8"/>
      <c r="ADP27" s="8"/>
      <c r="ADQ27" s="8"/>
      <c r="ADR27" s="8"/>
      <c r="ADS27" s="8"/>
      <c r="ADT27" s="8"/>
      <c r="ADU27" s="8"/>
      <c r="ADV27" s="8"/>
      <c r="ADW27" s="8"/>
      <c r="ADX27" s="8"/>
      <c r="ADY27" s="8"/>
      <c r="ADZ27" s="8"/>
      <c r="AEA27" s="8"/>
      <c r="AEB27" s="8"/>
      <c r="AEC27" s="8"/>
      <c r="AED27" s="8"/>
      <c r="AEE27" s="8"/>
      <c r="AEF27" s="8"/>
      <c r="AEG27" s="8"/>
      <c r="AEH27" s="8"/>
      <c r="AEI27" s="8"/>
      <c r="AEJ27" s="8"/>
      <c r="AEK27" s="8"/>
      <c r="AEL27" s="8"/>
      <c r="AEM27" s="8"/>
      <c r="AEN27" s="8"/>
      <c r="AEO27" s="8"/>
      <c r="AEP27" s="8"/>
      <c r="AEQ27" s="8"/>
      <c r="AER27" s="8"/>
      <c r="AES27" s="8"/>
      <c r="AET27" s="8"/>
      <c r="AEU27" s="8"/>
      <c r="AEV27" s="8"/>
      <c r="AEW27" s="8"/>
      <c r="AEX27" s="8"/>
      <c r="AEY27" s="8"/>
      <c r="AEZ27" s="8"/>
      <c r="AFA27" s="8"/>
      <c r="AFB27" s="8"/>
      <c r="AFC27" s="8"/>
      <c r="AFD27" s="8"/>
      <c r="AFE27" s="8"/>
      <c r="AFF27" s="8"/>
      <c r="AFG27" s="8"/>
      <c r="AFH27" s="8"/>
      <c r="AFI27" s="8"/>
      <c r="AFJ27" s="8"/>
      <c r="AFK27" s="8"/>
      <c r="AFL27" s="8"/>
      <c r="AFM27" s="8"/>
      <c r="AFN27" s="8"/>
      <c r="AFO27" s="8"/>
      <c r="AFP27" s="8"/>
      <c r="AFQ27" s="8"/>
      <c r="AFR27" s="8"/>
      <c r="AFS27" s="8"/>
      <c r="AFT27" s="8"/>
      <c r="AFU27" s="8"/>
      <c r="AFV27" s="8"/>
      <c r="AFW27" s="8"/>
      <c r="AFX27" s="8"/>
      <c r="AFY27" s="8"/>
      <c r="AFZ27" s="8"/>
      <c r="AGA27" s="8"/>
      <c r="AGB27" s="8"/>
      <c r="AGC27" s="8"/>
      <c r="AGD27" s="8"/>
      <c r="AGE27" s="8"/>
      <c r="AGF27" s="8"/>
      <c r="AGG27" s="8"/>
      <c r="AGH27" s="8"/>
      <c r="AGI27" s="8"/>
      <c r="AGJ27" s="8"/>
      <c r="AGK27" s="8"/>
      <c r="AGL27" s="8"/>
      <c r="AGM27" s="8"/>
      <c r="AGN27" s="8"/>
      <c r="AGO27" s="8"/>
      <c r="AGP27" s="8"/>
      <c r="AGQ27" s="8"/>
      <c r="AGR27" s="8"/>
      <c r="AGS27" s="8"/>
      <c r="AGT27" s="8"/>
      <c r="AGU27" s="8"/>
      <c r="AGV27" s="8"/>
      <c r="AGW27" s="8"/>
      <c r="AGX27" s="8"/>
      <c r="AGY27" s="8"/>
      <c r="AGZ27" s="8"/>
      <c r="AHA27" s="8"/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/>
      <c r="AHM27" s="8"/>
      <c r="AHN27" s="8"/>
      <c r="AHO27" s="8"/>
      <c r="AHP27" s="8"/>
      <c r="AHQ27" s="8"/>
      <c r="AHR27" s="8"/>
      <c r="AHS27" s="8"/>
      <c r="AHT27" s="8"/>
      <c r="AHU27" s="8"/>
      <c r="AHV27" s="8"/>
      <c r="AHW27" s="8"/>
      <c r="AHX27" s="8"/>
      <c r="AHY27" s="8"/>
      <c r="AHZ27" s="8"/>
      <c r="AIA27" s="8"/>
      <c r="AIB27" s="8"/>
      <c r="AIC27" s="8"/>
      <c r="AID27" s="8"/>
      <c r="AIE27" s="8"/>
      <c r="AIF27" s="8"/>
      <c r="AIG27" s="8"/>
      <c r="AIH27" s="8"/>
      <c r="AII27" s="8"/>
      <c r="AIJ27" s="8"/>
      <c r="AIK27" s="8"/>
      <c r="AIL27" s="8"/>
      <c r="AIM27" s="8"/>
      <c r="AIN27" s="8"/>
      <c r="AIO27" s="8"/>
      <c r="AIP27" s="8"/>
      <c r="AIQ27" s="8"/>
      <c r="AIR27" s="8"/>
      <c r="AIS27" s="8"/>
      <c r="AIT27" s="8"/>
      <c r="AIU27" s="8"/>
      <c r="AIV27" s="8"/>
      <c r="AIW27" s="8"/>
      <c r="AIX27" s="8"/>
      <c r="AIY27" s="8"/>
      <c r="AIZ27" s="8"/>
      <c r="AJA27" s="8"/>
      <c r="AJB27" s="8"/>
      <c r="AJC27" s="8"/>
      <c r="AJD27" s="8"/>
      <c r="AJE27" s="8"/>
      <c r="AJF27" s="8"/>
      <c r="AJG27" s="8"/>
      <c r="AJH27" s="8"/>
      <c r="AJI27" s="8"/>
      <c r="AJJ27" s="8"/>
      <c r="AJK27" s="8"/>
      <c r="AJL27" s="8"/>
      <c r="AJM27" s="8"/>
      <c r="AJN27" s="8"/>
      <c r="AJO27" s="8"/>
      <c r="AJP27" s="8"/>
      <c r="AJQ27" s="8"/>
      <c r="AJR27" s="8"/>
      <c r="AJS27" s="8"/>
      <c r="AJT27" s="8"/>
      <c r="AJU27" s="8"/>
      <c r="AJV27" s="8"/>
      <c r="AJW27" s="8"/>
      <c r="AJX27" s="8"/>
      <c r="AJY27" s="8"/>
      <c r="AJZ27" s="8"/>
      <c r="AKA27" s="8"/>
      <c r="AKB27" s="8"/>
      <c r="AKC27" s="8"/>
      <c r="AKD27" s="8"/>
      <c r="AKE27" s="8"/>
      <c r="AKF27" s="8"/>
      <c r="AKG27" s="8"/>
      <c r="AKH27" s="8"/>
      <c r="AKI27" s="8"/>
      <c r="AKJ27" s="8"/>
      <c r="AKK27" s="8"/>
      <c r="AKL27" s="8"/>
      <c r="AKM27" s="8"/>
      <c r="AKN27" s="8"/>
      <c r="AKO27" s="8"/>
      <c r="AKP27" s="8"/>
      <c r="AKQ27" s="8"/>
      <c r="AKR27" s="8"/>
      <c r="AKS27" s="8"/>
      <c r="AKT27" s="8"/>
      <c r="AKU27" s="8"/>
      <c r="AKV27" s="8"/>
      <c r="AKW27" s="8"/>
      <c r="AKX27" s="8"/>
      <c r="AKY27" s="8"/>
      <c r="AKZ27" s="8"/>
      <c r="ALA27" s="8"/>
      <c r="ALB27" s="8"/>
      <c r="ALC27" s="8"/>
      <c r="ALD27" s="8"/>
      <c r="ALE27" s="8"/>
      <c r="ALF27" s="8"/>
      <c r="ALG27" s="8"/>
      <c r="ALH27" s="8"/>
      <c r="ALI27" s="8"/>
      <c r="ALJ27" s="8"/>
      <c r="ALK27" s="8"/>
      <c r="ALL27" s="8"/>
    </row>
    <row r="28" spans="1:1000" ht="15" customHeight="1" x14ac:dyDescent="0.25">
      <c r="A28">
        <f ca="1">IF(_xll.TM1RPTELISCONSOLIDATED($C$19,$C28),IF(_xll.TM1RPTELLEV($C$19,$C28)&lt;=3,_xll.TM1RPTELLEV($C$19,$C28),"D"),IF($F$13="Units Sold","D","N"))</f>
        <v>1</v>
      </c>
      <c r="C28" s="107" t="s">
        <v>73</v>
      </c>
      <c r="D28" s="110">
        <f ca="1">_xll.DBRW($C$9,$C$13,$D$13,$C28,D$18,$H$13,$J$13,$F$13)</f>
        <v>1397</v>
      </c>
      <c r="E28" s="106">
        <f ca="1">_xll.DBRW($C$9,$C$13,$D$13,$C28,E$18,$H$13,$J$13,$F$13)</f>
        <v>97.9</v>
      </c>
      <c r="F28" s="106">
        <f ca="1">_xll.DBRW($C$9,$C$13,$D$13,$C28,F$18,$H$13,$J$13,$F$13)</f>
        <v>102.30000000000001</v>
      </c>
      <c r="G28" s="106">
        <f ca="1">_xll.DBRW($C$9,$C$13,$D$13,$C28,G$18,$H$13,$J$13,$F$13)</f>
        <v>102.30000000000001</v>
      </c>
      <c r="H28" s="106">
        <f ca="1">_xll.DBRW($C$9,$C$13,$D$13,$C28,H$18,$H$13,$J$13,$F$13)</f>
        <v>103.4</v>
      </c>
      <c r="I28" s="106">
        <f ca="1">_xll.DBRW($C$9,$C$13,$D$13,$C28,I$18,$H$13,$J$13,$F$13)</f>
        <v>105.60000000000001</v>
      </c>
      <c r="J28" s="106">
        <f ca="1">_xll.DBRW($C$9,$C$13,$D$13,$C28,J$18,$H$13,$J$13,$F$13)</f>
        <v>111.10000000000002</v>
      </c>
      <c r="K28" s="106">
        <f ca="1">_xll.DBRW($C$9,$C$13,$D$13,$C28,K$18,$H$13,$J$13,$F$13)</f>
        <v>112.20000000000002</v>
      </c>
      <c r="L28" s="106">
        <f ca="1">_xll.DBRW($C$9,$C$13,$D$13,$C28,L$18,$H$13,$J$13,$F$13)</f>
        <v>124.3</v>
      </c>
      <c r="M28" s="106">
        <f ca="1">_xll.DBRW($C$9,$C$13,$D$13,$C28,M$18,$H$13,$J$13,$F$13)</f>
        <v>130.9</v>
      </c>
      <c r="N28" s="106">
        <f ca="1">_xll.DBRW($C$9,$C$13,$D$13,$C28,N$18,$H$13,$J$13,$F$13)</f>
        <v>135.30000000000001</v>
      </c>
      <c r="O28" s="106">
        <f ca="1">_xll.DBRW($C$9,$C$13,$D$13,$C28,O$18,$H$13,$J$13,$F$13)</f>
        <v>135.30000000000001</v>
      </c>
      <c r="P28" s="106">
        <f ca="1">_xll.DBRW($C$9,$C$13,$D$13,$C28,P$18,$H$13,$J$13,$F$13)</f>
        <v>136.40000000000003</v>
      </c>
      <c r="Q28" s="55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8"/>
      <c r="OC28" s="8"/>
      <c r="OD28" s="8"/>
      <c r="OE28" s="8"/>
      <c r="OF28" s="8"/>
      <c r="OG28" s="8"/>
      <c r="OH28" s="8"/>
      <c r="OI28" s="8"/>
      <c r="OJ28" s="8"/>
      <c r="OK28" s="8"/>
      <c r="OL28" s="8"/>
      <c r="OM28" s="8"/>
      <c r="ON28" s="8"/>
      <c r="OO28" s="8"/>
      <c r="OP28" s="8"/>
      <c r="OQ28" s="8"/>
      <c r="OR28" s="8"/>
      <c r="OS28" s="8"/>
      <c r="OT28" s="8"/>
      <c r="OU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8"/>
      <c r="PJ28" s="8"/>
      <c r="PK28" s="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8"/>
      <c r="RC28" s="8"/>
      <c r="RD28" s="8"/>
      <c r="RE28" s="8"/>
      <c r="RF28" s="8"/>
      <c r="RG28" s="8"/>
      <c r="RH28" s="8"/>
      <c r="RI28" s="8"/>
      <c r="RJ28" s="8"/>
      <c r="RK28" s="8"/>
      <c r="RL28" s="8"/>
      <c r="RM28" s="8"/>
      <c r="RN28" s="8"/>
      <c r="RO28" s="8"/>
      <c r="RP28" s="8"/>
      <c r="RQ28" s="8"/>
      <c r="RR28" s="8"/>
      <c r="RS28" s="8"/>
      <c r="RT28" s="8"/>
      <c r="RU28" s="8"/>
      <c r="RV28" s="8"/>
      <c r="RW28" s="8"/>
      <c r="RX28" s="8"/>
      <c r="RY28" s="8"/>
      <c r="RZ28" s="8"/>
      <c r="SA28" s="8"/>
      <c r="SB28" s="8"/>
      <c r="SC28" s="8"/>
      <c r="SD28" s="8"/>
      <c r="SE28" s="8"/>
      <c r="SF28" s="8"/>
      <c r="SG28" s="8"/>
      <c r="SH28" s="8"/>
      <c r="SI28" s="8"/>
      <c r="SJ28" s="8"/>
      <c r="SK28" s="8"/>
      <c r="SL28" s="8"/>
      <c r="SM28" s="8"/>
      <c r="SN28" s="8"/>
      <c r="SO28" s="8"/>
      <c r="SP28" s="8"/>
      <c r="SQ28" s="8"/>
      <c r="SR28" s="8"/>
      <c r="SS28" s="8"/>
      <c r="ST28" s="8"/>
      <c r="SU28" s="8"/>
      <c r="SV28" s="8"/>
      <c r="SW28" s="8"/>
      <c r="SX28" s="8"/>
      <c r="SY28" s="8"/>
      <c r="SZ28" s="8"/>
      <c r="TA28" s="8"/>
      <c r="TB28" s="8"/>
      <c r="TC28" s="8"/>
      <c r="TD28" s="8"/>
      <c r="TE28" s="8"/>
      <c r="TF28" s="8"/>
      <c r="TG28" s="8"/>
      <c r="TH28" s="8"/>
      <c r="TI28" s="8"/>
      <c r="TJ28" s="8"/>
      <c r="TK28" s="8"/>
      <c r="TL28" s="8"/>
      <c r="TM28" s="8"/>
      <c r="TN28" s="8"/>
      <c r="TO28" s="8"/>
      <c r="TP28" s="8"/>
      <c r="TQ28" s="8"/>
      <c r="TR28" s="8"/>
      <c r="TS28" s="8"/>
      <c r="TT28" s="8"/>
      <c r="TU28" s="8"/>
      <c r="TV28" s="8"/>
      <c r="TW28" s="8"/>
      <c r="TX28" s="8"/>
      <c r="TY28" s="8"/>
      <c r="TZ28" s="8"/>
      <c r="UA28" s="8"/>
      <c r="UB28" s="8"/>
      <c r="UC28" s="8"/>
      <c r="UD28" s="8"/>
      <c r="UE28" s="8"/>
      <c r="UF28" s="8"/>
      <c r="UG28" s="8"/>
      <c r="UH28" s="8"/>
      <c r="UI28" s="8"/>
      <c r="UJ28" s="8"/>
      <c r="UK28" s="8"/>
      <c r="UL28" s="8"/>
      <c r="UM28" s="8"/>
      <c r="UN28" s="8"/>
      <c r="UO28" s="8"/>
      <c r="UP28" s="8"/>
      <c r="UQ28" s="8"/>
      <c r="UR28" s="8"/>
      <c r="US28" s="8"/>
      <c r="UT28" s="8"/>
      <c r="UU28" s="8"/>
      <c r="UV28" s="8"/>
      <c r="UW28" s="8"/>
      <c r="UX28" s="8"/>
      <c r="UY28" s="8"/>
      <c r="UZ28" s="8"/>
      <c r="VA28" s="8"/>
      <c r="VB28" s="8"/>
      <c r="VC28" s="8"/>
      <c r="VD28" s="8"/>
      <c r="VE28" s="8"/>
      <c r="VF28" s="8"/>
      <c r="VG28" s="8"/>
      <c r="VH28" s="8"/>
      <c r="VI28" s="8"/>
      <c r="VJ28" s="8"/>
      <c r="VK28" s="8"/>
      <c r="VL28" s="8"/>
      <c r="VM28" s="8"/>
      <c r="VN28" s="8"/>
      <c r="VO28" s="8"/>
      <c r="VP28" s="8"/>
      <c r="VQ28" s="8"/>
      <c r="VR28" s="8"/>
      <c r="VS28" s="8"/>
      <c r="VT28" s="8"/>
      <c r="VU28" s="8"/>
      <c r="VV28" s="8"/>
      <c r="VW28" s="8"/>
      <c r="VX28" s="8"/>
      <c r="VY28" s="8"/>
      <c r="VZ28" s="8"/>
      <c r="WA28" s="8"/>
      <c r="WB28" s="8"/>
      <c r="WC28" s="8"/>
      <c r="WD28" s="8"/>
      <c r="WE28" s="8"/>
      <c r="WF28" s="8"/>
      <c r="WG28" s="8"/>
      <c r="WH28" s="8"/>
      <c r="WI28" s="8"/>
      <c r="WJ28" s="8"/>
      <c r="WK28" s="8"/>
      <c r="WL28" s="8"/>
      <c r="WM28" s="8"/>
      <c r="WN28" s="8"/>
      <c r="WO28" s="8"/>
      <c r="WP28" s="8"/>
      <c r="WQ28" s="8"/>
      <c r="WR28" s="8"/>
      <c r="WS28" s="8"/>
      <c r="WT28" s="8"/>
      <c r="WU28" s="8"/>
      <c r="WV28" s="8"/>
      <c r="WW28" s="8"/>
      <c r="WX28" s="8"/>
      <c r="WY28" s="8"/>
      <c r="WZ28" s="8"/>
      <c r="XA28" s="8"/>
      <c r="XB28" s="8"/>
      <c r="XC28" s="8"/>
      <c r="XD28" s="8"/>
      <c r="XE28" s="8"/>
      <c r="XF28" s="8"/>
      <c r="XG28" s="8"/>
      <c r="XH28" s="8"/>
      <c r="XI28" s="8"/>
      <c r="XJ28" s="8"/>
      <c r="XK28" s="8"/>
      <c r="XL28" s="8"/>
      <c r="XM28" s="8"/>
      <c r="XN28" s="8"/>
      <c r="XO28" s="8"/>
      <c r="XP28" s="8"/>
      <c r="XQ28" s="8"/>
      <c r="XR28" s="8"/>
      <c r="XS28" s="8"/>
      <c r="XT28" s="8"/>
      <c r="XU28" s="8"/>
      <c r="XV28" s="8"/>
      <c r="XW28" s="8"/>
      <c r="XX28" s="8"/>
      <c r="XY28" s="8"/>
      <c r="XZ28" s="8"/>
      <c r="YA28" s="8"/>
      <c r="YB28" s="8"/>
      <c r="YC28" s="8"/>
      <c r="YD28" s="8"/>
      <c r="YE28" s="8"/>
      <c r="YF28" s="8"/>
      <c r="YG28" s="8"/>
      <c r="YH28" s="8"/>
      <c r="YI28" s="8"/>
      <c r="YJ28" s="8"/>
      <c r="YK28" s="8"/>
      <c r="YL28" s="8"/>
      <c r="YM28" s="8"/>
      <c r="YN28" s="8"/>
      <c r="YO28" s="8"/>
      <c r="YP28" s="8"/>
      <c r="YQ28" s="8"/>
      <c r="YR28" s="8"/>
      <c r="YS28" s="8"/>
      <c r="YT28" s="8"/>
      <c r="YU28" s="8"/>
      <c r="YV28" s="8"/>
      <c r="YW28" s="8"/>
      <c r="YX28" s="8"/>
      <c r="YY28" s="8"/>
      <c r="YZ28" s="8"/>
      <c r="ZA28" s="8"/>
      <c r="ZB28" s="8"/>
      <c r="ZC28" s="8"/>
      <c r="ZD28" s="8"/>
      <c r="ZE28" s="8"/>
      <c r="ZF28" s="8"/>
      <c r="ZG28" s="8"/>
      <c r="ZH28" s="8"/>
      <c r="ZI28" s="8"/>
      <c r="ZJ28" s="8"/>
      <c r="ZK28" s="8"/>
      <c r="ZL28" s="8"/>
      <c r="ZM28" s="8"/>
      <c r="ZN28" s="8"/>
      <c r="ZO28" s="8"/>
      <c r="ZP28" s="8"/>
      <c r="ZQ28" s="8"/>
      <c r="ZR28" s="8"/>
      <c r="ZS28" s="8"/>
      <c r="ZT28" s="8"/>
      <c r="ZU28" s="8"/>
      <c r="ZV28" s="8"/>
      <c r="ZW28" s="8"/>
      <c r="ZX28" s="8"/>
      <c r="ZY28" s="8"/>
      <c r="ZZ28" s="8"/>
      <c r="AAA28" s="8"/>
      <c r="AAB28" s="8"/>
      <c r="AAC28" s="8"/>
      <c r="AAD28" s="8"/>
      <c r="AAE28" s="8"/>
      <c r="AAF28" s="8"/>
      <c r="AAG28" s="8"/>
      <c r="AAH28" s="8"/>
      <c r="AAI28" s="8"/>
      <c r="AAJ28" s="8"/>
      <c r="AAK28" s="8"/>
      <c r="AAL28" s="8"/>
      <c r="AAM28" s="8"/>
      <c r="AAN28" s="8"/>
      <c r="AAO28" s="8"/>
      <c r="AAP28" s="8"/>
      <c r="AAQ28" s="8"/>
      <c r="AAR28" s="8"/>
      <c r="AAS28" s="8"/>
      <c r="AAT28" s="8"/>
      <c r="AAU28" s="8"/>
      <c r="AAV28" s="8"/>
      <c r="AAW28" s="8"/>
      <c r="AAX28" s="8"/>
      <c r="AAY28" s="8"/>
      <c r="AAZ28" s="8"/>
      <c r="ABA28" s="8"/>
      <c r="ABB28" s="8"/>
      <c r="ABC28" s="8"/>
      <c r="ABD28" s="8"/>
      <c r="ABE28" s="8"/>
      <c r="ABF28" s="8"/>
      <c r="ABG28" s="8"/>
      <c r="ABH28" s="8"/>
      <c r="ABI28" s="8"/>
      <c r="ABJ28" s="8"/>
      <c r="ABK28" s="8"/>
      <c r="ABL28" s="8"/>
      <c r="ABM28" s="8"/>
      <c r="ABN28" s="8"/>
      <c r="ABO28" s="8"/>
      <c r="ABP28" s="8"/>
      <c r="ABQ28" s="8"/>
      <c r="ABR28" s="8"/>
      <c r="ABS28" s="8"/>
      <c r="ABT28" s="8"/>
      <c r="ABU28" s="8"/>
      <c r="ABV28" s="8"/>
      <c r="ABW28" s="8"/>
      <c r="ABX28" s="8"/>
      <c r="ABY28" s="8"/>
      <c r="ABZ28" s="8"/>
      <c r="ACA28" s="8"/>
      <c r="ACB28" s="8"/>
      <c r="ACC28" s="8"/>
      <c r="ACD28" s="8"/>
      <c r="ACE28" s="8"/>
      <c r="ACF28" s="8"/>
      <c r="ACG28" s="8"/>
      <c r="ACH28" s="8"/>
      <c r="ACI28" s="8"/>
      <c r="ACJ28" s="8"/>
      <c r="ACK28" s="8"/>
      <c r="ACL28" s="8"/>
      <c r="ACM28" s="8"/>
      <c r="ACN28" s="8"/>
      <c r="ACO28" s="8"/>
      <c r="ACP28" s="8"/>
      <c r="ACQ28" s="8"/>
      <c r="ACR28" s="8"/>
      <c r="ACS28" s="8"/>
      <c r="ACT28" s="8"/>
      <c r="ACU28" s="8"/>
      <c r="ACV28" s="8"/>
      <c r="ACW28" s="8"/>
      <c r="ACX28" s="8"/>
      <c r="ACY28" s="8"/>
      <c r="ACZ28" s="8"/>
      <c r="ADA28" s="8"/>
      <c r="ADB28" s="8"/>
      <c r="ADC28" s="8"/>
      <c r="ADD28" s="8"/>
      <c r="ADE28" s="8"/>
      <c r="ADF28" s="8"/>
      <c r="ADG28" s="8"/>
      <c r="ADH28" s="8"/>
      <c r="ADI28" s="8"/>
      <c r="ADJ28" s="8"/>
      <c r="ADK28" s="8"/>
      <c r="ADL28" s="8"/>
      <c r="ADM28" s="8"/>
      <c r="ADN28" s="8"/>
      <c r="ADO28" s="8"/>
      <c r="ADP28" s="8"/>
      <c r="ADQ28" s="8"/>
      <c r="ADR28" s="8"/>
      <c r="ADS28" s="8"/>
      <c r="ADT28" s="8"/>
      <c r="ADU28" s="8"/>
      <c r="ADV28" s="8"/>
      <c r="ADW28" s="8"/>
      <c r="ADX28" s="8"/>
      <c r="ADY28" s="8"/>
      <c r="ADZ28" s="8"/>
      <c r="AEA28" s="8"/>
      <c r="AEB28" s="8"/>
      <c r="AEC28" s="8"/>
      <c r="AED28" s="8"/>
      <c r="AEE28" s="8"/>
      <c r="AEF28" s="8"/>
      <c r="AEG28" s="8"/>
      <c r="AEH28" s="8"/>
      <c r="AEI28" s="8"/>
      <c r="AEJ28" s="8"/>
      <c r="AEK28" s="8"/>
      <c r="AEL28" s="8"/>
      <c r="AEM28" s="8"/>
      <c r="AEN28" s="8"/>
      <c r="AEO28" s="8"/>
      <c r="AEP28" s="8"/>
      <c r="AEQ28" s="8"/>
      <c r="AER28" s="8"/>
      <c r="AES28" s="8"/>
      <c r="AET28" s="8"/>
      <c r="AEU28" s="8"/>
      <c r="AEV28" s="8"/>
      <c r="AEW28" s="8"/>
      <c r="AEX28" s="8"/>
      <c r="AEY28" s="8"/>
      <c r="AEZ28" s="8"/>
      <c r="AFA28" s="8"/>
      <c r="AFB28" s="8"/>
      <c r="AFC28" s="8"/>
      <c r="AFD28" s="8"/>
      <c r="AFE28" s="8"/>
      <c r="AFF28" s="8"/>
      <c r="AFG28" s="8"/>
      <c r="AFH28" s="8"/>
      <c r="AFI28" s="8"/>
      <c r="AFJ28" s="8"/>
      <c r="AFK28" s="8"/>
      <c r="AFL28" s="8"/>
      <c r="AFM28" s="8"/>
      <c r="AFN28" s="8"/>
      <c r="AFO28" s="8"/>
      <c r="AFP28" s="8"/>
      <c r="AFQ28" s="8"/>
      <c r="AFR28" s="8"/>
      <c r="AFS28" s="8"/>
      <c r="AFT28" s="8"/>
      <c r="AFU28" s="8"/>
      <c r="AFV28" s="8"/>
      <c r="AFW28" s="8"/>
      <c r="AFX28" s="8"/>
      <c r="AFY28" s="8"/>
      <c r="AFZ28" s="8"/>
      <c r="AGA28" s="8"/>
      <c r="AGB28" s="8"/>
      <c r="AGC28" s="8"/>
      <c r="AGD28" s="8"/>
      <c r="AGE28" s="8"/>
      <c r="AGF28" s="8"/>
      <c r="AGG28" s="8"/>
      <c r="AGH28" s="8"/>
      <c r="AGI28" s="8"/>
      <c r="AGJ28" s="8"/>
      <c r="AGK28" s="8"/>
      <c r="AGL28" s="8"/>
      <c r="AGM28" s="8"/>
      <c r="AGN28" s="8"/>
      <c r="AGO28" s="8"/>
      <c r="AGP28" s="8"/>
      <c r="AGQ28" s="8"/>
      <c r="AGR28" s="8"/>
      <c r="AGS28" s="8"/>
      <c r="AGT28" s="8"/>
      <c r="AGU28" s="8"/>
      <c r="AGV28" s="8"/>
      <c r="AGW28" s="8"/>
      <c r="AGX28" s="8"/>
      <c r="AGY28" s="8"/>
      <c r="AGZ28" s="8"/>
      <c r="AHA28" s="8"/>
      <c r="AHB28" s="8"/>
      <c r="AHC28" s="8"/>
      <c r="AHD28" s="8"/>
      <c r="AHE28" s="8"/>
      <c r="AHF28" s="8"/>
      <c r="AHG28" s="8"/>
      <c r="AHH28" s="8"/>
      <c r="AHI28" s="8"/>
      <c r="AHJ28" s="8"/>
      <c r="AHK28" s="8"/>
      <c r="AHL28" s="8"/>
      <c r="AHM28" s="8"/>
      <c r="AHN28" s="8"/>
      <c r="AHO28" s="8"/>
      <c r="AHP28" s="8"/>
      <c r="AHQ28" s="8"/>
      <c r="AHR28" s="8"/>
      <c r="AHS28" s="8"/>
      <c r="AHT28" s="8"/>
      <c r="AHU28" s="8"/>
      <c r="AHV28" s="8"/>
      <c r="AHW28" s="8"/>
      <c r="AHX28" s="8"/>
      <c r="AHY28" s="8"/>
      <c r="AHZ28" s="8"/>
      <c r="AIA28" s="8"/>
      <c r="AIB28" s="8"/>
      <c r="AIC28" s="8"/>
      <c r="AID28" s="8"/>
      <c r="AIE28" s="8"/>
      <c r="AIF28" s="8"/>
      <c r="AIG28" s="8"/>
      <c r="AIH28" s="8"/>
      <c r="AII28" s="8"/>
      <c r="AIJ28" s="8"/>
      <c r="AIK28" s="8"/>
      <c r="AIL28" s="8"/>
      <c r="AIM28" s="8"/>
      <c r="AIN28" s="8"/>
      <c r="AIO28" s="8"/>
      <c r="AIP28" s="8"/>
      <c r="AIQ28" s="8"/>
      <c r="AIR28" s="8"/>
      <c r="AIS28" s="8"/>
      <c r="AIT28" s="8"/>
      <c r="AIU28" s="8"/>
      <c r="AIV28" s="8"/>
      <c r="AIW28" s="8"/>
      <c r="AIX28" s="8"/>
      <c r="AIY28" s="8"/>
      <c r="AIZ28" s="8"/>
      <c r="AJA28" s="8"/>
      <c r="AJB28" s="8"/>
      <c r="AJC28" s="8"/>
      <c r="AJD28" s="8"/>
      <c r="AJE28" s="8"/>
      <c r="AJF28" s="8"/>
      <c r="AJG28" s="8"/>
      <c r="AJH28" s="8"/>
      <c r="AJI28" s="8"/>
      <c r="AJJ28" s="8"/>
      <c r="AJK28" s="8"/>
      <c r="AJL28" s="8"/>
      <c r="AJM28" s="8"/>
      <c r="AJN28" s="8"/>
      <c r="AJO28" s="8"/>
      <c r="AJP28" s="8"/>
      <c r="AJQ28" s="8"/>
      <c r="AJR28" s="8"/>
      <c r="AJS28" s="8"/>
      <c r="AJT28" s="8"/>
      <c r="AJU28" s="8"/>
      <c r="AJV28" s="8"/>
      <c r="AJW28" s="8"/>
      <c r="AJX28" s="8"/>
      <c r="AJY28" s="8"/>
      <c r="AJZ28" s="8"/>
      <c r="AKA28" s="8"/>
      <c r="AKB28" s="8"/>
      <c r="AKC28" s="8"/>
      <c r="AKD28" s="8"/>
      <c r="AKE28" s="8"/>
      <c r="AKF28" s="8"/>
      <c r="AKG28" s="8"/>
      <c r="AKH28" s="8"/>
      <c r="AKI28" s="8"/>
      <c r="AKJ28" s="8"/>
      <c r="AKK28" s="8"/>
      <c r="AKL28" s="8"/>
      <c r="AKM28" s="8"/>
      <c r="AKN28" s="8"/>
      <c r="AKO28" s="8"/>
      <c r="AKP28" s="8"/>
      <c r="AKQ28" s="8"/>
      <c r="AKR28" s="8"/>
      <c r="AKS28" s="8"/>
      <c r="AKT28" s="8"/>
      <c r="AKU28" s="8"/>
      <c r="AKV28" s="8"/>
      <c r="AKW28" s="8"/>
      <c r="AKX28" s="8"/>
      <c r="AKY28" s="8"/>
      <c r="AKZ28" s="8"/>
      <c r="ALA28" s="8"/>
      <c r="ALB28" s="8"/>
      <c r="ALC28" s="8"/>
      <c r="ALD28" s="8"/>
      <c r="ALE28" s="8"/>
      <c r="ALF28" s="8"/>
      <c r="ALG28" s="8"/>
      <c r="ALH28" s="8"/>
      <c r="ALI28" s="8"/>
      <c r="ALJ28" s="8"/>
      <c r="ALK28" s="8"/>
      <c r="ALL28" s="8"/>
    </row>
    <row r="29" spans="1:1000" ht="15" customHeight="1" x14ac:dyDescent="0.25">
      <c r="A29">
        <f ca="1">IF(_xll.TM1RPTELISCONSOLIDATED($C$19,$C29),IF(_xll.TM1RPTELLEV($C$19,$C29)&lt;=3,_xll.TM1RPTELLEV($C$19,$C29),"D"),IF($F$13="Units Sold","D","N"))</f>
        <v>2</v>
      </c>
      <c r="C29" s="36" t="s">
        <v>74</v>
      </c>
      <c r="D29" s="111">
        <f ca="1">_xll.DBRW($C$9,$C$13,$D$13,$C29,D$18,$H$13,$J$13,$F$13)</f>
        <v>448.8</v>
      </c>
      <c r="E29" s="76">
        <f ca="1">_xll.DBRW($C$9,$C$13,$D$13,$C29,E$18,$H$13,$J$13,$F$13)</f>
        <v>29.700000000000003</v>
      </c>
      <c r="F29" s="76">
        <f ca="1">_xll.DBRW($C$9,$C$13,$D$13,$C29,F$18,$H$13,$J$13,$F$13)</f>
        <v>31.900000000000002</v>
      </c>
      <c r="G29" s="76">
        <f ca="1">_xll.DBRW($C$9,$C$13,$D$13,$C29,G$18,$H$13,$J$13,$F$13)</f>
        <v>31.900000000000002</v>
      </c>
      <c r="H29" s="76">
        <f ca="1">_xll.DBRW($C$9,$C$13,$D$13,$C29,H$18,$H$13,$J$13,$F$13)</f>
        <v>31.900000000000002</v>
      </c>
      <c r="I29" s="76">
        <f ca="1">_xll.DBRW($C$9,$C$13,$D$13,$C29,I$18,$H$13,$J$13,$F$13)</f>
        <v>33</v>
      </c>
      <c r="J29" s="76">
        <f ca="1">_xll.DBRW($C$9,$C$13,$D$13,$C29,J$18,$H$13,$J$13,$F$13)</f>
        <v>35.200000000000003</v>
      </c>
      <c r="K29" s="76">
        <f ca="1">_xll.DBRW($C$9,$C$13,$D$13,$C29,K$18,$H$13,$J$13,$F$13)</f>
        <v>35.200000000000003</v>
      </c>
      <c r="L29" s="76">
        <f ca="1">_xll.DBRW($C$9,$C$13,$D$13,$C29,L$18,$H$13,$J$13,$F$13)</f>
        <v>41.8</v>
      </c>
      <c r="M29" s="76">
        <f ca="1">_xll.DBRW($C$9,$C$13,$D$13,$C29,M$18,$H$13,$J$13,$F$13)</f>
        <v>42.900000000000006</v>
      </c>
      <c r="N29" s="76">
        <f ca="1">_xll.DBRW($C$9,$C$13,$D$13,$C29,N$18,$H$13,$J$13,$F$13)</f>
        <v>45.100000000000009</v>
      </c>
      <c r="O29" s="76">
        <f ca="1">_xll.DBRW($C$9,$C$13,$D$13,$C29,O$18,$H$13,$J$13,$F$13)</f>
        <v>45.100000000000009</v>
      </c>
      <c r="P29" s="76">
        <f ca="1">_xll.DBRW($C$9,$C$13,$D$13,$C29,P$18,$H$13,$J$13,$F$13)</f>
        <v>45.100000000000009</v>
      </c>
      <c r="Q29" s="55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  <c r="XU29" s="8"/>
      <c r="XV29" s="8"/>
      <c r="XW29" s="8"/>
      <c r="XX29" s="8"/>
      <c r="XY29" s="8"/>
      <c r="XZ29" s="8"/>
      <c r="YA29" s="8"/>
      <c r="YB29" s="8"/>
      <c r="YC29" s="8"/>
      <c r="YD29" s="8"/>
      <c r="YE29" s="8"/>
      <c r="YF29" s="8"/>
      <c r="YG29" s="8"/>
      <c r="YH29" s="8"/>
      <c r="YI29" s="8"/>
      <c r="YJ29" s="8"/>
      <c r="YK29" s="8"/>
      <c r="YL29" s="8"/>
      <c r="YM29" s="8"/>
      <c r="YN29" s="8"/>
      <c r="YO29" s="8"/>
      <c r="YP29" s="8"/>
      <c r="YQ29" s="8"/>
      <c r="YR29" s="8"/>
      <c r="YS29" s="8"/>
      <c r="YT29" s="8"/>
      <c r="YU29" s="8"/>
      <c r="YV29" s="8"/>
      <c r="YW29" s="8"/>
      <c r="YX29" s="8"/>
      <c r="YY29" s="8"/>
      <c r="YZ29" s="8"/>
      <c r="ZA29" s="8"/>
      <c r="ZB29" s="8"/>
      <c r="ZC29" s="8"/>
      <c r="ZD29" s="8"/>
      <c r="ZE29" s="8"/>
      <c r="ZF29" s="8"/>
      <c r="ZG29" s="8"/>
      <c r="ZH29" s="8"/>
      <c r="ZI29" s="8"/>
      <c r="ZJ29" s="8"/>
      <c r="ZK29" s="8"/>
      <c r="ZL29" s="8"/>
      <c r="ZM29" s="8"/>
      <c r="ZN29" s="8"/>
      <c r="ZO29" s="8"/>
      <c r="ZP29" s="8"/>
      <c r="ZQ29" s="8"/>
      <c r="ZR29" s="8"/>
      <c r="ZS29" s="8"/>
      <c r="ZT29" s="8"/>
      <c r="ZU29" s="8"/>
      <c r="ZV29" s="8"/>
      <c r="ZW29" s="8"/>
      <c r="ZX29" s="8"/>
      <c r="ZY29" s="8"/>
      <c r="ZZ29" s="8"/>
      <c r="AAA29" s="8"/>
      <c r="AAB29" s="8"/>
      <c r="AAC29" s="8"/>
      <c r="AAD29" s="8"/>
      <c r="AAE29" s="8"/>
      <c r="AAF29" s="8"/>
      <c r="AAG29" s="8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8"/>
      <c r="AAU29" s="8"/>
      <c r="AAV29" s="8"/>
      <c r="AAW29" s="8"/>
      <c r="AAX29" s="8"/>
      <c r="AAY29" s="8"/>
      <c r="AAZ29" s="8"/>
      <c r="ABA29" s="8"/>
      <c r="ABB29" s="8"/>
      <c r="ABC29" s="8"/>
      <c r="ABD29" s="8"/>
      <c r="ABE29" s="8"/>
      <c r="ABF29" s="8"/>
      <c r="ABG29" s="8"/>
      <c r="ABH29" s="8"/>
      <c r="ABI29" s="8"/>
      <c r="ABJ29" s="8"/>
      <c r="ABK29" s="8"/>
      <c r="ABL29" s="8"/>
      <c r="ABM29" s="8"/>
      <c r="ABN29" s="8"/>
      <c r="ABO29" s="8"/>
      <c r="ABP29" s="8"/>
      <c r="ABQ29" s="8"/>
      <c r="ABR29" s="8"/>
      <c r="ABS29" s="8"/>
      <c r="ABT29" s="8"/>
      <c r="ABU29" s="8"/>
      <c r="ABV29" s="8"/>
      <c r="ABW29" s="8"/>
      <c r="ABX29" s="8"/>
      <c r="ABY29" s="8"/>
      <c r="ABZ29" s="8"/>
      <c r="ACA29" s="8"/>
      <c r="ACB29" s="8"/>
      <c r="ACC29" s="8"/>
      <c r="ACD29" s="8"/>
      <c r="ACE29" s="8"/>
      <c r="ACF29" s="8"/>
      <c r="ACG29" s="8"/>
      <c r="ACH29" s="8"/>
      <c r="ACI29" s="8"/>
      <c r="ACJ29" s="8"/>
      <c r="ACK29" s="8"/>
      <c r="ACL29" s="8"/>
      <c r="ACM29" s="8"/>
      <c r="ACN29" s="8"/>
      <c r="ACO29" s="8"/>
      <c r="ACP29" s="8"/>
      <c r="ACQ29" s="8"/>
      <c r="ACR29" s="8"/>
      <c r="ACS29" s="8"/>
      <c r="ACT29" s="8"/>
      <c r="ACU29" s="8"/>
      <c r="ACV29" s="8"/>
      <c r="ACW29" s="8"/>
      <c r="ACX29" s="8"/>
      <c r="ACY29" s="8"/>
      <c r="ACZ29" s="8"/>
      <c r="ADA29" s="8"/>
      <c r="ADB29" s="8"/>
      <c r="ADC29" s="8"/>
      <c r="ADD29" s="8"/>
      <c r="ADE29" s="8"/>
      <c r="ADF29" s="8"/>
      <c r="ADG29" s="8"/>
      <c r="ADH29" s="8"/>
      <c r="ADI29" s="8"/>
      <c r="ADJ29" s="8"/>
      <c r="ADK29" s="8"/>
      <c r="ADL29" s="8"/>
      <c r="ADM29" s="8"/>
      <c r="ADN29" s="8"/>
      <c r="ADO29" s="8"/>
      <c r="ADP29" s="8"/>
      <c r="ADQ29" s="8"/>
      <c r="ADR29" s="8"/>
      <c r="ADS29" s="8"/>
      <c r="ADT29" s="8"/>
      <c r="ADU29" s="8"/>
      <c r="ADV29" s="8"/>
      <c r="ADW29" s="8"/>
      <c r="ADX29" s="8"/>
      <c r="ADY29" s="8"/>
      <c r="ADZ29" s="8"/>
      <c r="AEA29" s="8"/>
      <c r="AEB29" s="8"/>
      <c r="AEC29" s="8"/>
      <c r="AED29" s="8"/>
      <c r="AEE29" s="8"/>
      <c r="AEF29" s="8"/>
      <c r="AEG29" s="8"/>
      <c r="AEH29" s="8"/>
      <c r="AEI29" s="8"/>
      <c r="AEJ29" s="8"/>
      <c r="AEK29" s="8"/>
      <c r="AEL29" s="8"/>
      <c r="AEM29" s="8"/>
      <c r="AEN29" s="8"/>
      <c r="AEO29" s="8"/>
      <c r="AEP29" s="8"/>
      <c r="AEQ29" s="8"/>
      <c r="AER29" s="8"/>
      <c r="AES29" s="8"/>
      <c r="AET29" s="8"/>
      <c r="AEU29" s="8"/>
      <c r="AEV29" s="8"/>
      <c r="AEW29" s="8"/>
      <c r="AEX29" s="8"/>
      <c r="AEY29" s="8"/>
      <c r="AEZ29" s="8"/>
      <c r="AFA29" s="8"/>
      <c r="AFB29" s="8"/>
      <c r="AFC29" s="8"/>
      <c r="AFD29" s="8"/>
      <c r="AFE29" s="8"/>
      <c r="AFF29" s="8"/>
      <c r="AFG29" s="8"/>
      <c r="AFH29" s="8"/>
      <c r="AFI29" s="8"/>
      <c r="AFJ29" s="8"/>
      <c r="AFK29" s="8"/>
      <c r="AFL29" s="8"/>
      <c r="AFM29" s="8"/>
      <c r="AFN29" s="8"/>
      <c r="AFO29" s="8"/>
      <c r="AFP29" s="8"/>
      <c r="AFQ29" s="8"/>
      <c r="AFR29" s="8"/>
      <c r="AFS29" s="8"/>
      <c r="AFT29" s="8"/>
      <c r="AFU29" s="8"/>
      <c r="AFV29" s="8"/>
      <c r="AFW29" s="8"/>
      <c r="AFX29" s="8"/>
      <c r="AFY29" s="8"/>
      <c r="AFZ29" s="8"/>
      <c r="AGA29" s="8"/>
      <c r="AGB29" s="8"/>
      <c r="AGC29" s="8"/>
      <c r="AGD29" s="8"/>
      <c r="AGE29" s="8"/>
      <c r="AGF29" s="8"/>
      <c r="AGG29" s="8"/>
      <c r="AGH29" s="8"/>
      <c r="AGI29" s="8"/>
      <c r="AGJ29" s="8"/>
      <c r="AGK29" s="8"/>
      <c r="AGL29" s="8"/>
      <c r="AGM29" s="8"/>
      <c r="AGN29" s="8"/>
      <c r="AGO29" s="8"/>
      <c r="AGP29" s="8"/>
      <c r="AGQ29" s="8"/>
      <c r="AGR29" s="8"/>
      <c r="AGS29" s="8"/>
      <c r="AGT29" s="8"/>
      <c r="AGU29" s="8"/>
      <c r="AGV29" s="8"/>
      <c r="AGW29" s="8"/>
      <c r="AGX29" s="8"/>
      <c r="AGY29" s="8"/>
      <c r="AGZ29" s="8"/>
      <c r="AHA29" s="8"/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/>
      <c r="AHM29" s="8"/>
      <c r="AHN29" s="8"/>
      <c r="AHO29" s="8"/>
      <c r="AHP29" s="8"/>
      <c r="AHQ29" s="8"/>
      <c r="AHR29" s="8"/>
      <c r="AHS29" s="8"/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  <c r="AJA29" s="8"/>
      <c r="AJB29" s="8"/>
      <c r="AJC29" s="8"/>
      <c r="AJD29" s="8"/>
      <c r="AJE29" s="8"/>
      <c r="AJF29" s="8"/>
      <c r="AJG29" s="8"/>
      <c r="AJH29" s="8"/>
      <c r="AJI29" s="8"/>
      <c r="AJJ29" s="8"/>
      <c r="AJK29" s="8"/>
      <c r="AJL29" s="8"/>
      <c r="AJM29" s="8"/>
      <c r="AJN29" s="8"/>
      <c r="AJO29" s="8"/>
      <c r="AJP29" s="8"/>
      <c r="AJQ29" s="8"/>
      <c r="AJR29" s="8"/>
      <c r="AJS29" s="8"/>
      <c r="AJT29" s="8"/>
      <c r="AJU29" s="8"/>
      <c r="AJV29" s="8"/>
      <c r="AJW29" s="8"/>
      <c r="AJX29" s="8"/>
      <c r="AJY29" s="8"/>
      <c r="AJZ29" s="8"/>
      <c r="AKA29" s="8"/>
      <c r="AKB29" s="8"/>
      <c r="AKC29" s="8"/>
      <c r="AKD29" s="8"/>
      <c r="AKE29" s="8"/>
      <c r="AKF29" s="8"/>
      <c r="AKG29" s="8"/>
      <c r="AKH29" s="8"/>
      <c r="AKI29" s="8"/>
      <c r="AKJ29" s="8"/>
      <c r="AKK29" s="8"/>
      <c r="AKL29" s="8"/>
      <c r="AKM29" s="8"/>
      <c r="AKN29" s="8"/>
      <c r="AKO29" s="8"/>
      <c r="AKP29" s="8"/>
      <c r="AKQ29" s="8"/>
      <c r="AKR29" s="8"/>
      <c r="AKS29" s="8"/>
      <c r="AKT29" s="8"/>
      <c r="AKU29" s="8"/>
      <c r="AKV29" s="8"/>
      <c r="AKW29" s="8"/>
      <c r="AKX29" s="8"/>
      <c r="AKY29" s="8"/>
      <c r="AKZ29" s="8"/>
      <c r="ALA29" s="8"/>
      <c r="ALB29" s="8"/>
      <c r="ALC29" s="8"/>
      <c r="ALD29" s="8"/>
      <c r="ALE29" s="8"/>
      <c r="ALF29" s="8"/>
      <c r="ALG29" s="8"/>
      <c r="ALH29" s="8"/>
      <c r="ALI29" s="8"/>
      <c r="ALJ29" s="8"/>
      <c r="ALK29" s="8"/>
      <c r="ALL29" s="8"/>
    </row>
    <row r="30" spans="1:1000" ht="15" customHeight="1" x14ac:dyDescent="0.25">
      <c r="A30">
        <f ca="1">IF(_xll.TM1RPTELISCONSOLIDATED($C$19,$C30),IF(_xll.TM1RPTELLEV($C$19,$C30)&lt;=3,_xll.TM1RPTELLEV($C$19,$C30),"D"),IF($F$13="Units Sold","D","N"))</f>
        <v>2</v>
      </c>
      <c r="C30" s="36" t="s">
        <v>75</v>
      </c>
      <c r="D30" s="111">
        <f ca="1">_xll.DBRW($C$9,$C$13,$D$13,$C30,D$18,$H$13,$J$13,$F$13)</f>
        <v>948.2</v>
      </c>
      <c r="E30" s="76">
        <f ca="1">_xll.DBRW($C$9,$C$13,$D$13,$C30,E$18,$H$13,$J$13,$F$13)</f>
        <v>68.2</v>
      </c>
      <c r="F30" s="76">
        <f ca="1">_xll.DBRW($C$9,$C$13,$D$13,$C30,F$18,$H$13,$J$13,$F$13)</f>
        <v>70.400000000000006</v>
      </c>
      <c r="G30" s="76">
        <f ca="1">_xll.DBRW($C$9,$C$13,$D$13,$C30,G$18,$H$13,$J$13,$F$13)</f>
        <v>70.400000000000006</v>
      </c>
      <c r="H30" s="76">
        <f ca="1">_xll.DBRW($C$9,$C$13,$D$13,$C30,H$18,$H$13,$J$13,$F$13)</f>
        <v>71.5</v>
      </c>
      <c r="I30" s="76">
        <f ca="1">_xll.DBRW($C$9,$C$13,$D$13,$C30,I$18,$H$13,$J$13,$F$13)</f>
        <v>72.600000000000009</v>
      </c>
      <c r="J30" s="76">
        <f ca="1">_xll.DBRW($C$9,$C$13,$D$13,$C30,J$18,$H$13,$J$13,$F$13)</f>
        <v>75.900000000000006</v>
      </c>
      <c r="K30" s="76">
        <f ca="1">_xll.DBRW($C$9,$C$13,$D$13,$C30,K$18,$H$13,$J$13,$F$13)</f>
        <v>77</v>
      </c>
      <c r="L30" s="76">
        <f ca="1">_xll.DBRW($C$9,$C$13,$D$13,$C30,L$18,$H$13,$J$13,$F$13)</f>
        <v>82.5</v>
      </c>
      <c r="M30" s="76">
        <f ca="1">_xll.DBRW($C$9,$C$13,$D$13,$C30,M$18,$H$13,$J$13,$F$13)</f>
        <v>88</v>
      </c>
      <c r="N30" s="76">
        <f ca="1">_xll.DBRW($C$9,$C$13,$D$13,$C30,N$18,$H$13,$J$13,$F$13)</f>
        <v>90.200000000000017</v>
      </c>
      <c r="O30" s="76">
        <f ca="1">_xll.DBRW($C$9,$C$13,$D$13,$C30,O$18,$H$13,$J$13,$F$13)</f>
        <v>90.200000000000017</v>
      </c>
      <c r="P30" s="76">
        <f ca="1">_xll.DBRW($C$9,$C$13,$D$13,$C30,P$18,$H$13,$J$13,$F$13)</f>
        <v>91.300000000000011</v>
      </c>
      <c r="Q30" s="55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  <c r="NV30" s="8"/>
      <c r="NW30" s="8"/>
      <c r="NX30" s="8"/>
      <c r="NY30" s="8"/>
      <c r="NZ30" s="8"/>
      <c r="OA30" s="8"/>
      <c r="OB30" s="8"/>
      <c r="OC30" s="8"/>
      <c r="OD30" s="8"/>
      <c r="OE30" s="8"/>
      <c r="OF30" s="8"/>
      <c r="OG30" s="8"/>
      <c r="OH30" s="8"/>
      <c r="OI30" s="8"/>
      <c r="OJ30" s="8"/>
      <c r="OK30" s="8"/>
      <c r="OL30" s="8"/>
      <c r="OM30" s="8"/>
      <c r="ON30" s="8"/>
      <c r="OO30" s="8"/>
      <c r="OP30" s="8"/>
      <c r="OQ30" s="8"/>
      <c r="OR30" s="8"/>
      <c r="OS30" s="8"/>
      <c r="OT30" s="8"/>
      <c r="OU30" s="8"/>
      <c r="OV30" s="8"/>
      <c r="OW30" s="8"/>
      <c r="OX30" s="8"/>
      <c r="OY30" s="8"/>
      <c r="OZ30" s="8"/>
      <c r="PA30" s="8"/>
      <c r="PB30" s="8"/>
      <c r="PC30" s="8"/>
      <c r="PD30" s="8"/>
      <c r="PE30" s="8"/>
      <c r="PF30" s="8"/>
      <c r="PG30" s="8"/>
      <c r="PH30" s="8"/>
      <c r="PI30" s="8"/>
      <c r="PJ30" s="8"/>
      <c r="PK30" s="8"/>
      <c r="PL30" s="8"/>
      <c r="PM30" s="8"/>
      <c r="PN30" s="8"/>
      <c r="PO30" s="8"/>
      <c r="PP30" s="8"/>
      <c r="PQ30" s="8"/>
      <c r="PR30" s="8"/>
      <c r="PS30" s="8"/>
      <c r="PT30" s="8"/>
      <c r="PU30" s="8"/>
      <c r="PV30" s="8"/>
      <c r="PW30" s="8"/>
      <c r="PX30" s="8"/>
      <c r="PY30" s="8"/>
      <c r="PZ30" s="8"/>
      <c r="QA30" s="8"/>
      <c r="QB30" s="8"/>
      <c r="QC30" s="8"/>
      <c r="QD30" s="8"/>
      <c r="QE30" s="8"/>
      <c r="QF30" s="8"/>
      <c r="QG30" s="8"/>
      <c r="QH30" s="8"/>
      <c r="QI30" s="8"/>
      <c r="QJ30" s="8"/>
      <c r="QK30" s="8"/>
      <c r="QL30" s="8"/>
      <c r="QM30" s="8"/>
      <c r="QN30" s="8"/>
      <c r="QO30" s="8"/>
      <c r="QP30" s="8"/>
      <c r="QQ30" s="8"/>
      <c r="QR30" s="8"/>
      <c r="QS30" s="8"/>
      <c r="QT30" s="8"/>
      <c r="QU30" s="8"/>
      <c r="QV30" s="8"/>
      <c r="QW30" s="8"/>
      <c r="QX30" s="8"/>
      <c r="QY30" s="8"/>
      <c r="QZ30" s="8"/>
      <c r="RA30" s="8"/>
      <c r="RB30" s="8"/>
      <c r="RC30" s="8"/>
      <c r="RD30" s="8"/>
      <c r="RE30" s="8"/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  <c r="RR30" s="8"/>
      <c r="RS30" s="8"/>
      <c r="RT30" s="8"/>
      <c r="RU30" s="8"/>
      <c r="RV30" s="8"/>
      <c r="RW30" s="8"/>
      <c r="RX30" s="8"/>
      <c r="RY30" s="8"/>
      <c r="RZ30" s="8"/>
      <c r="SA30" s="8"/>
      <c r="SB30" s="8"/>
      <c r="SC30" s="8"/>
      <c r="SD30" s="8"/>
      <c r="SE30" s="8"/>
      <c r="SF30" s="8"/>
      <c r="SG30" s="8"/>
      <c r="SH30" s="8"/>
      <c r="SI30" s="8"/>
      <c r="SJ30" s="8"/>
      <c r="SK30" s="8"/>
      <c r="SL30" s="8"/>
      <c r="SM30" s="8"/>
      <c r="SN30" s="8"/>
      <c r="SO30" s="8"/>
      <c r="SP30" s="8"/>
      <c r="SQ30" s="8"/>
      <c r="SR30" s="8"/>
      <c r="SS30" s="8"/>
      <c r="ST30" s="8"/>
      <c r="SU30" s="8"/>
      <c r="SV30" s="8"/>
      <c r="SW30" s="8"/>
      <c r="SX30" s="8"/>
      <c r="SY30" s="8"/>
      <c r="SZ30" s="8"/>
      <c r="TA30" s="8"/>
      <c r="TB30" s="8"/>
      <c r="TC30" s="8"/>
      <c r="TD30" s="8"/>
      <c r="TE30" s="8"/>
      <c r="TF30" s="8"/>
      <c r="TG30" s="8"/>
      <c r="TH30" s="8"/>
      <c r="TI30" s="8"/>
      <c r="TJ30" s="8"/>
      <c r="TK30" s="8"/>
      <c r="TL30" s="8"/>
      <c r="TM30" s="8"/>
      <c r="TN30" s="8"/>
      <c r="TO30" s="8"/>
      <c r="TP30" s="8"/>
      <c r="TQ30" s="8"/>
      <c r="TR30" s="8"/>
      <c r="TS30" s="8"/>
      <c r="TT30" s="8"/>
      <c r="TU30" s="8"/>
      <c r="TV30" s="8"/>
      <c r="TW30" s="8"/>
      <c r="TX30" s="8"/>
      <c r="TY30" s="8"/>
      <c r="TZ30" s="8"/>
      <c r="UA30" s="8"/>
      <c r="UB30" s="8"/>
      <c r="UC30" s="8"/>
      <c r="UD30" s="8"/>
      <c r="UE30" s="8"/>
      <c r="UF30" s="8"/>
      <c r="UG30" s="8"/>
      <c r="UH30" s="8"/>
      <c r="UI30" s="8"/>
      <c r="UJ30" s="8"/>
      <c r="UK30" s="8"/>
      <c r="UL30" s="8"/>
      <c r="UM30" s="8"/>
      <c r="UN30" s="8"/>
      <c r="UO30" s="8"/>
      <c r="UP30" s="8"/>
      <c r="UQ30" s="8"/>
      <c r="UR30" s="8"/>
      <c r="US30" s="8"/>
      <c r="UT30" s="8"/>
      <c r="UU30" s="8"/>
      <c r="UV30" s="8"/>
      <c r="UW30" s="8"/>
      <c r="UX30" s="8"/>
      <c r="UY30" s="8"/>
      <c r="UZ30" s="8"/>
      <c r="VA30" s="8"/>
      <c r="VB30" s="8"/>
      <c r="VC30" s="8"/>
      <c r="VD30" s="8"/>
      <c r="VE30" s="8"/>
      <c r="VF30" s="8"/>
      <c r="VG30" s="8"/>
      <c r="VH30" s="8"/>
      <c r="VI30" s="8"/>
      <c r="VJ30" s="8"/>
      <c r="VK30" s="8"/>
      <c r="VL30" s="8"/>
      <c r="VM30" s="8"/>
      <c r="VN30" s="8"/>
      <c r="VO30" s="8"/>
      <c r="VP30" s="8"/>
      <c r="VQ30" s="8"/>
      <c r="VR30" s="8"/>
      <c r="VS30" s="8"/>
      <c r="VT30" s="8"/>
      <c r="VU30" s="8"/>
      <c r="VV30" s="8"/>
      <c r="VW30" s="8"/>
      <c r="VX30" s="8"/>
      <c r="VY30" s="8"/>
      <c r="VZ30" s="8"/>
      <c r="WA30" s="8"/>
      <c r="WB30" s="8"/>
      <c r="WC30" s="8"/>
      <c r="WD30" s="8"/>
      <c r="WE30" s="8"/>
      <c r="WF30" s="8"/>
      <c r="WG30" s="8"/>
      <c r="WH30" s="8"/>
      <c r="WI30" s="8"/>
      <c r="WJ30" s="8"/>
      <c r="WK30" s="8"/>
      <c r="WL30" s="8"/>
      <c r="WM30" s="8"/>
      <c r="WN30" s="8"/>
      <c r="WO30" s="8"/>
      <c r="WP30" s="8"/>
      <c r="WQ30" s="8"/>
      <c r="WR30" s="8"/>
      <c r="WS30" s="8"/>
      <c r="WT30" s="8"/>
      <c r="WU30" s="8"/>
      <c r="WV30" s="8"/>
      <c r="WW30" s="8"/>
      <c r="WX30" s="8"/>
      <c r="WY30" s="8"/>
      <c r="WZ30" s="8"/>
      <c r="XA30" s="8"/>
      <c r="XB30" s="8"/>
      <c r="XC30" s="8"/>
      <c r="XD30" s="8"/>
      <c r="XE30" s="8"/>
      <c r="XF30" s="8"/>
      <c r="XG30" s="8"/>
      <c r="XH30" s="8"/>
      <c r="XI30" s="8"/>
      <c r="XJ30" s="8"/>
      <c r="XK30" s="8"/>
      <c r="XL30" s="8"/>
      <c r="XM30" s="8"/>
      <c r="XN30" s="8"/>
      <c r="XO30" s="8"/>
      <c r="XP30" s="8"/>
      <c r="XQ30" s="8"/>
      <c r="XR30" s="8"/>
      <c r="XS30" s="8"/>
      <c r="XT30" s="8"/>
      <c r="XU30" s="8"/>
      <c r="XV30" s="8"/>
      <c r="XW30" s="8"/>
      <c r="XX30" s="8"/>
      <c r="XY30" s="8"/>
      <c r="XZ30" s="8"/>
      <c r="YA30" s="8"/>
      <c r="YB30" s="8"/>
      <c r="YC30" s="8"/>
      <c r="YD30" s="8"/>
      <c r="YE30" s="8"/>
      <c r="YF30" s="8"/>
      <c r="YG30" s="8"/>
      <c r="YH30" s="8"/>
      <c r="YI30" s="8"/>
      <c r="YJ30" s="8"/>
      <c r="YK30" s="8"/>
      <c r="YL30" s="8"/>
      <c r="YM30" s="8"/>
      <c r="YN30" s="8"/>
      <c r="YO30" s="8"/>
      <c r="YP30" s="8"/>
      <c r="YQ30" s="8"/>
      <c r="YR30" s="8"/>
      <c r="YS30" s="8"/>
      <c r="YT30" s="8"/>
      <c r="YU30" s="8"/>
      <c r="YV30" s="8"/>
      <c r="YW30" s="8"/>
      <c r="YX30" s="8"/>
      <c r="YY30" s="8"/>
      <c r="YZ30" s="8"/>
      <c r="ZA30" s="8"/>
      <c r="ZB30" s="8"/>
      <c r="ZC30" s="8"/>
      <c r="ZD30" s="8"/>
      <c r="ZE30" s="8"/>
      <c r="ZF30" s="8"/>
      <c r="ZG30" s="8"/>
      <c r="ZH30" s="8"/>
      <c r="ZI30" s="8"/>
      <c r="ZJ30" s="8"/>
      <c r="ZK30" s="8"/>
      <c r="ZL30" s="8"/>
      <c r="ZM30" s="8"/>
      <c r="ZN30" s="8"/>
      <c r="ZO30" s="8"/>
      <c r="ZP30" s="8"/>
      <c r="ZQ30" s="8"/>
      <c r="ZR30" s="8"/>
      <c r="ZS30" s="8"/>
      <c r="ZT30" s="8"/>
      <c r="ZU30" s="8"/>
      <c r="ZV30" s="8"/>
      <c r="ZW30" s="8"/>
      <c r="ZX30" s="8"/>
      <c r="ZY30" s="8"/>
      <c r="ZZ30" s="8"/>
      <c r="AAA30" s="8"/>
      <c r="AAB30" s="8"/>
      <c r="AAC30" s="8"/>
      <c r="AAD30" s="8"/>
      <c r="AAE30" s="8"/>
      <c r="AAF30" s="8"/>
      <c r="AAG30" s="8"/>
      <c r="AAH30" s="8"/>
      <c r="AAI30" s="8"/>
      <c r="AAJ30" s="8"/>
      <c r="AAK30" s="8"/>
      <c r="AAL30" s="8"/>
      <c r="AAM30" s="8"/>
      <c r="AAN30" s="8"/>
      <c r="AAO30" s="8"/>
      <c r="AAP30" s="8"/>
      <c r="AAQ30" s="8"/>
      <c r="AAR30" s="8"/>
      <c r="AAS30" s="8"/>
      <c r="AAT30" s="8"/>
      <c r="AAU30" s="8"/>
      <c r="AAV30" s="8"/>
      <c r="AAW30" s="8"/>
      <c r="AAX30" s="8"/>
      <c r="AAY30" s="8"/>
      <c r="AAZ30" s="8"/>
      <c r="ABA30" s="8"/>
      <c r="ABB30" s="8"/>
      <c r="ABC30" s="8"/>
      <c r="ABD30" s="8"/>
      <c r="ABE30" s="8"/>
      <c r="ABF30" s="8"/>
      <c r="ABG30" s="8"/>
      <c r="ABH30" s="8"/>
      <c r="ABI30" s="8"/>
      <c r="ABJ30" s="8"/>
      <c r="ABK30" s="8"/>
      <c r="ABL30" s="8"/>
      <c r="ABM30" s="8"/>
      <c r="ABN30" s="8"/>
      <c r="ABO30" s="8"/>
      <c r="ABP30" s="8"/>
      <c r="ABQ30" s="8"/>
      <c r="ABR30" s="8"/>
      <c r="ABS30" s="8"/>
      <c r="ABT30" s="8"/>
      <c r="ABU30" s="8"/>
      <c r="ABV30" s="8"/>
      <c r="ABW30" s="8"/>
      <c r="ABX30" s="8"/>
      <c r="ABY30" s="8"/>
      <c r="ABZ30" s="8"/>
      <c r="ACA30" s="8"/>
      <c r="ACB30" s="8"/>
      <c r="ACC30" s="8"/>
      <c r="ACD30" s="8"/>
      <c r="ACE30" s="8"/>
      <c r="ACF30" s="8"/>
      <c r="ACG30" s="8"/>
      <c r="ACH30" s="8"/>
      <c r="ACI30" s="8"/>
      <c r="ACJ30" s="8"/>
      <c r="ACK30" s="8"/>
      <c r="ACL30" s="8"/>
      <c r="ACM30" s="8"/>
      <c r="ACN30" s="8"/>
      <c r="ACO30" s="8"/>
      <c r="ACP30" s="8"/>
      <c r="ACQ30" s="8"/>
      <c r="ACR30" s="8"/>
      <c r="ACS30" s="8"/>
      <c r="ACT30" s="8"/>
      <c r="ACU30" s="8"/>
      <c r="ACV30" s="8"/>
      <c r="ACW30" s="8"/>
      <c r="ACX30" s="8"/>
      <c r="ACY30" s="8"/>
      <c r="ACZ30" s="8"/>
      <c r="ADA30" s="8"/>
      <c r="ADB30" s="8"/>
      <c r="ADC30" s="8"/>
      <c r="ADD30" s="8"/>
      <c r="ADE30" s="8"/>
      <c r="ADF30" s="8"/>
      <c r="ADG30" s="8"/>
      <c r="ADH30" s="8"/>
      <c r="ADI30" s="8"/>
      <c r="ADJ30" s="8"/>
      <c r="ADK30" s="8"/>
      <c r="ADL30" s="8"/>
      <c r="ADM30" s="8"/>
      <c r="ADN30" s="8"/>
      <c r="ADO30" s="8"/>
      <c r="ADP30" s="8"/>
      <c r="ADQ30" s="8"/>
      <c r="ADR30" s="8"/>
      <c r="ADS30" s="8"/>
      <c r="ADT30" s="8"/>
      <c r="ADU30" s="8"/>
      <c r="ADV30" s="8"/>
      <c r="ADW30" s="8"/>
      <c r="ADX30" s="8"/>
      <c r="ADY30" s="8"/>
      <c r="ADZ30" s="8"/>
      <c r="AEA30" s="8"/>
      <c r="AEB30" s="8"/>
      <c r="AEC30" s="8"/>
      <c r="AED30" s="8"/>
      <c r="AEE30" s="8"/>
      <c r="AEF30" s="8"/>
      <c r="AEG30" s="8"/>
      <c r="AEH30" s="8"/>
      <c r="AEI30" s="8"/>
      <c r="AEJ30" s="8"/>
      <c r="AEK30" s="8"/>
      <c r="AEL30" s="8"/>
      <c r="AEM30" s="8"/>
      <c r="AEN30" s="8"/>
      <c r="AEO30" s="8"/>
      <c r="AEP30" s="8"/>
      <c r="AEQ30" s="8"/>
      <c r="AER30" s="8"/>
      <c r="AES30" s="8"/>
      <c r="AET30" s="8"/>
      <c r="AEU30" s="8"/>
      <c r="AEV30" s="8"/>
      <c r="AEW30" s="8"/>
      <c r="AEX30" s="8"/>
      <c r="AEY30" s="8"/>
      <c r="AEZ30" s="8"/>
      <c r="AFA30" s="8"/>
      <c r="AFB30" s="8"/>
      <c r="AFC30" s="8"/>
      <c r="AFD30" s="8"/>
      <c r="AFE30" s="8"/>
      <c r="AFF30" s="8"/>
      <c r="AFG30" s="8"/>
      <c r="AFH30" s="8"/>
      <c r="AFI30" s="8"/>
      <c r="AFJ30" s="8"/>
      <c r="AFK30" s="8"/>
      <c r="AFL30" s="8"/>
      <c r="AFM30" s="8"/>
      <c r="AFN30" s="8"/>
      <c r="AFO30" s="8"/>
      <c r="AFP30" s="8"/>
      <c r="AFQ30" s="8"/>
      <c r="AFR30" s="8"/>
      <c r="AFS30" s="8"/>
      <c r="AFT30" s="8"/>
      <c r="AFU30" s="8"/>
      <c r="AFV30" s="8"/>
      <c r="AFW30" s="8"/>
      <c r="AFX30" s="8"/>
      <c r="AFY30" s="8"/>
      <c r="AFZ30" s="8"/>
      <c r="AGA30" s="8"/>
      <c r="AGB30" s="8"/>
      <c r="AGC30" s="8"/>
      <c r="AGD30" s="8"/>
      <c r="AGE30" s="8"/>
      <c r="AGF30" s="8"/>
      <c r="AGG30" s="8"/>
      <c r="AGH30" s="8"/>
      <c r="AGI30" s="8"/>
      <c r="AGJ30" s="8"/>
      <c r="AGK30" s="8"/>
      <c r="AGL30" s="8"/>
      <c r="AGM30" s="8"/>
      <c r="AGN30" s="8"/>
      <c r="AGO30" s="8"/>
      <c r="AGP30" s="8"/>
      <c r="AGQ30" s="8"/>
      <c r="AGR30" s="8"/>
      <c r="AGS30" s="8"/>
      <c r="AGT30" s="8"/>
      <c r="AGU30" s="8"/>
      <c r="AGV30" s="8"/>
      <c r="AGW30" s="8"/>
      <c r="AGX30" s="8"/>
      <c r="AGY30" s="8"/>
      <c r="AGZ30" s="8"/>
      <c r="AHA30" s="8"/>
      <c r="AHB30" s="8"/>
      <c r="AHC30" s="8"/>
      <c r="AHD30" s="8"/>
      <c r="AHE30" s="8"/>
      <c r="AHF30" s="8"/>
      <c r="AHG30" s="8"/>
      <c r="AHH30" s="8"/>
      <c r="AHI30" s="8"/>
      <c r="AHJ30" s="8"/>
      <c r="AHK30" s="8"/>
      <c r="AHL30" s="8"/>
      <c r="AHM30" s="8"/>
      <c r="AHN30" s="8"/>
      <c r="AHO30" s="8"/>
      <c r="AHP30" s="8"/>
      <c r="AHQ30" s="8"/>
      <c r="AHR30" s="8"/>
      <c r="AHS30" s="8"/>
      <c r="AHT30" s="8"/>
      <c r="AHU30" s="8"/>
      <c r="AHV30" s="8"/>
      <c r="AHW30" s="8"/>
      <c r="AHX30" s="8"/>
      <c r="AHY30" s="8"/>
      <c r="AHZ30" s="8"/>
      <c r="AIA30" s="8"/>
      <c r="AIB30" s="8"/>
      <c r="AIC30" s="8"/>
      <c r="AID30" s="8"/>
      <c r="AIE30" s="8"/>
      <c r="AIF30" s="8"/>
      <c r="AIG30" s="8"/>
      <c r="AIH30" s="8"/>
      <c r="AII30" s="8"/>
      <c r="AIJ30" s="8"/>
      <c r="AIK30" s="8"/>
      <c r="AIL30" s="8"/>
      <c r="AIM30" s="8"/>
      <c r="AIN30" s="8"/>
      <c r="AIO30" s="8"/>
      <c r="AIP30" s="8"/>
      <c r="AIQ30" s="8"/>
      <c r="AIR30" s="8"/>
      <c r="AIS30" s="8"/>
      <c r="AIT30" s="8"/>
      <c r="AIU30" s="8"/>
      <c r="AIV30" s="8"/>
      <c r="AIW30" s="8"/>
      <c r="AIX30" s="8"/>
      <c r="AIY30" s="8"/>
      <c r="AIZ30" s="8"/>
      <c r="AJA30" s="8"/>
      <c r="AJB30" s="8"/>
      <c r="AJC30" s="8"/>
      <c r="AJD30" s="8"/>
      <c r="AJE30" s="8"/>
      <c r="AJF30" s="8"/>
      <c r="AJG30" s="8"/>
      <c r="AJH30" s="8"/>
      <c r="AJI30" s="8"/>
      <c r="AJJ30" s="8"/>
      <c r="AJK30" s="8"/>
      <c r="AJL30" s="8"/>
      <c r="AJM30" s="8"/>
      <c r="AJN30" s="8"/>
      <c r="AJO30" s="8"/>
      <c r="AJP30" s="8"/>
      <c r="AJQ30" s="8"/>
      <c r="AJR30" s="8"/>
      <c r="AJS30" s="8"/>
      <c r="AJT30" s="8"/>
      <c r="AJU30" s="8"/>
      <c r="AJV30" s="8"/>
      <c r="AJW30" s="8"/>
      <c r="AJX30" s="8"/>
      <c r="AJY30" s="8"/>
      <c r="AJZ30" s="8"/>
      <c r="AKA30" s="8"/>
      <c r="AKB30" s="8"/>
      <c r="AKC30" s="8"/>
      <c r="AKD30" s="8"/>
      <c r="AKE30" s="8"/>
      <c r="AKF30" s="8"/>
      <c r="AKG30" s="8"/>
      <c r="AKH30" s="8"/>
      <c r="AKI30" s="8"/>
      <c r="AKJ30" s="8"/>
      <c r="AKK30" s="8"/>
      <c r="AKL30" s="8"/>
      <c r="AKM30" s="8"/>
      <c r="AKN30" s="8"/>
      <c r="AKO30" s="8"/>
      <c r="AKP30" s="8"/>
      <c r="AKQ30" s="8"/>
      <c r="AKR30" s="8"/>
      <c r="AKS30" s="8"/>
      <c r="AKT30" s="8"/>
      <c r="AKU30" s="8"/>
      <c r="AKV30" s="8"/>
      <c r="AKW30" s="8"/>
      <c r="AKX30" s="8"/>
      <c r="AKY30" s="8"/>
      <c r="AKZ30" s="8"/>
      <c r="ALA30" s="8"/>
      <c r="ALB30" s="8"/>
      <c r="ALC30" s="8"/>
      <c r="ALD30" s="8"/>
      <c r="ALE30" s="8"/>
      <c r="ALF30" s="8"/>
      <c r="ALG30" s="8"/>
      <c r="ALH30" s="8"/>
      <c r="ALI30" s="8"/>
      <c r="ALJ30" s="8"/>
      <c r="ALK30" s="8"/>
      <c r="ALL30" s="8"/>
    </row>
    <row r="31" spans="1:1000" ht="15" customHeight="1" x14ac:dyDescent="0.25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000" ht="15" customHeight="1" x14ac:dyDescent="0.25"/>
    <row r="33" ht="15" customHeight="1" x14ac:dyDescent="0.25"/>
    <row r="34" ht="15" customHeight="1" x14ac:dyDescent="0.25"/>
    <row r="35" ht="15" customHeight="1" x14ac:dyDescent="0.25"/>
  </sheetData>
  <mergeCells count="14">
    <mergeCell ref="C10:D10"/>
    <mergeCell ref="J15:K15"/>
    <mergeCell ref="J16:K16"/>
    <mergeCell ref="L12:N12"/>
    <mergeCell ref="L13:N13"/>
    <mergeCell ref="J12:K12"/>
    <mergeCell ref="J13:K13"/>
    <mergeCell ref="D15:E15"/>
    <mergeCell ref="F12:G12"/>
    <mergeCell ref="F13:G13"/>
    <mergeCell ref="H12:I12"/>
    <mergeCell ref="H13:I13"/>
    <mergeCell ref="D12:E12"/>
    <mergeCell ref="D13:E13"/>
  </mergeCells>
  <phoneticPr fontId="0" type="noConversion"/>
  <dataValidations disablePrompts="1" count="1">
    <dataValidation type="list" allowBlank="1" showInputMessage="1" showErrorMessage="1" sqref="J16:K16">
      <formula1>SelectYesNo</formula1>
    </dataValidation>
  </dataValidations>
  <pageMargins left="0.7" right="0.7" top="0.75" bottom="0.75" header="0.3" footer="0.3"/>
  <pageSetup scale="81" fitToHeight="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S31"/>
  <sheetViews>
    <sheetView showGridLines="0" showRowColHeaders="0" topLeftCell="A2" workbookViewId="0"/>
  </sheetViews>
  <sheetFormatPr defaultRowHeight="15" x14ac:dyDescent="0.25"/>
  <cols>
    <col min="1" max="1" width="1.28515625" customWidth="1"/>
    <col min="2" max="2" width="11.28515625" hidden="1" customWidth="1"/>
    <col min="3" max="3" width="15.140625" customWidth="1"/>
    <col min="4" max="4" width="10.140625" customWidth="1"/>
    <col min="5" max="16" width="9" customWidth="1"/>
  </cols>
  <sheetData>
    <row r="1" spans="1:19" ht="9" hidden="1" x14ac:dyDescent="0.25">
      <c r="C1" t="s">
        <v>18</v>
      </c>
      <c r="D1" t="str">
        <f ca="1">_xll.VIEW("region06:Revenue",$C$5,"!",$E$5,"!",$J$5,$L$5,$H$5)</f>
        <v>region06:Revenue</v>
      </c>
    </row>
    <row r="2" spans="1:19" ht="21" customHeight="1" x14ac:dyDescent="0.25">
      <c r="A2" s="39"/>
      <c r="B2" s="39"/>
      <c r="C2" s="119"/>
      <c r="D2" s="120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1"/>
      <c r="R2" s="1"/>
      <c r="S2" s="1"/>
    </row>
    <row r="3" spans="1:19" ht="12.75" customHeight="1" x14ac:dyDescent="0.25">
      <c r="J3" s="1"/>
      <c r="K3" s="1"/>
      <c r="L3" s="1"/>
    </row>
    <row r="4" spans="1:19" s="4" customFormat="1" ht="15" customHeight="1" x14ac:dyDescent="0.25">
      <c r="C4" s="115" t="s">
        <v>7</v>
      </c>
      <c r="D4" s="123"/>
      <c r="E4" s="124" t="s">
        <v>32</v>
      </c>
      <c r="F4" s="122"/>
      <c r="G4" s="123"/>
      <c r="H4" s="124" t="s">
        <v>33</v>
      </c>
      <c r="I4" s="123"/>
      <c r="J4" s="124" t="s">
        <v>1</v>
      </c>
      <c r="K4" s="123"/>
      <c r="L4" s="124" t="s">
        <v>2</v>
      </c>
      <c r="M4" s="122"/>
    </row>
    <row r="5" spans="1:19" s="4" customFormat="1" ht="15" customHeight="1" x14ac:dyDescent="0.25">
      <c r="C5" s="129" t="str">
        <f ca="1">_xll.SUBNM("region06:organization","Workflow",pOrg,"Caption_Default")</f>
        <v>Massachusetts</v>
      </c>
      <c r="D5" s="129"/>
      <c r="E5" s="129" t="str">
        <f ca="1">_xll.SUBNM("region06:Product","New",1,"Caption_Default")</f>
        <v>4G 16Gb</v>
      </c>
      <c r="F5" s="129"/>
      <c r="G5" s="129"/>
      <c r="H5" s="129" t="str">
        <f ca="1">_xll.SUBNM("region06:Revenue","Default","Units Sold","Caption_Default")</f>
        <v>Volume - Units</v>
      </c>
      <c r="I5" s="129"/>
      <c r="J5" s="129" t="str">
        <f ca="1">_xll.SUBNM("region06:Year","Default","Y2","Caption_Default")</f>
        <v>2015</v>
      </c>
      <c r="K5" s="129"/>
      <c r="L5" s="129" t="str">
        <f ca="1">_xll.SUBNM("region06:Version","Current",_xll.DBR("region06:Calendar","Current Version","String"),"Caption_Default")</f>
        <v>Budget</v>
      </c>
      <c r="M5" s="129"/>
      <c r="N5" s="44"/>
      <c r="O5" s="44"/>
      <c r="P5" s="44"/>
    </row>
    <row r="6" spans="1:19" s="4" customFormat="1" ht="13.5" customHeight="1" x14ac:dyDescent="0.25"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</row>
    <row r="7" spans="1:19" s="4" customFormat="1" ht="15" customHeight="1" thickBot="1" x14ac:dyDescent="0.3">
      <c r="C7" s="77" t="str">
        <f ca="1">H5</f>
        <v>Volume - Units</v>
      </c>
      <c r="D7" s="74" t="s">
        <v>1</v>
      </c>
      <c r="E7" s="74" t="s">
        <v>19</v>
      </c>
      <c r="F7" s="74" t="s">
        <v>20</v>
      </c>
      <c r="G7" s="74" t="s">
        <v>21</v>
      </c>
      <c r="H7" s="74" t="s">
        <v>22</v>
      </c>
      <c r="I7" s="74" t="s">
        <v>23</v>
      </c>
      <c r="J7" s="74" t="s">
        <v>24</v>
      </c>
      <c r="K7" s="74" t="s">
        <v>25</v>
      </c>
      <c r="L7" s="74" t="s">
        <v>26</v>
      </c>
      <c r="M7" s="74" t="s">
        <v>27</v>
      </c>
      <c r="N7" s="74" t="s">
        <v>28</v>
      </c>
      <c r="O7" s="74" t="s">
        <v>29</v>
      </c>
      <c r="P7" s="74" t="s">
        <v>30</v>
      </c>
    </row>
    <row r="8" spans="1:19" s="3" customFormat="1" ht="15" customHeight="1" thickTop="1" x14ac:dyDescent="0.2">
      <c r="B8" s="3" t="s">
        <v>31</v>
      </c>
      <c r="C8" s="98" t="str">
        <f ca="1">_xll.DBRA("region06:channel",B8,"caption_default")</f>
        <v>Channel Total</v>
      </c>
      <c r="D8" s="99">
        <f ca="1">_xll.DBRW($D$1,$C$5,$B8,$E$5,D$7,$J$5,$L$5,$H$5)</f>
        <v>4988.5416690577631</v>
      </c>
      <c r="E8" s="99">
        <f ca="1">_xll.DBRW($D$1,$C$5,$B8,$E$5,E$7,$J$5,$L$5,$H$5)</f>
        <v>265.44508547198109</v>
      </c>
      <c r="F8" s="99">
        <f ca="1">_xll.DBRW($D$1,$C$5,$B8,$E$5,F$7,$J$5,$L$5,$H$5)</f>
        <v>280.89310261369343</v>
      </c>
      <c r="G8" s="99">
        <f ca="1">_xll.DBRW($D$1,$C$5,$B8,$E$5,G$7,$J$5,$L$5,$H$5)</f>
        <v>295.98306559370235</v>
      </c>
      <c r="H8" s="99">
        <f ca="1">_xll.DBRW($D$1,$C$5,$B8,$E$5,H$7,$J$5,$L$5,$H$5)</f>
        <v>335.46910673109426</v>
      </c>
      <c r="I8" s="99">
        <f ca="1">_xll.DBRW($D$1,$C$5,$B8,$E$5,I$7,$J$5,$L$5,$H$5)</f>
        <v>358.39947100525814</v>
      </c>
      <c r="J8" s="99">
        <f ca="1">_xll.DBRW($D$1,$C$5,$B8,$E$5,J$7,$J$5,$L$5,$H$5)</f>
        <v>383.36447335527424</v>
      </c>
      <c r="K8" s="99">
        <f ca="1">_xll.DBRW($D$1,$C$5,$B8,$E$5,K$7,$J$5,$L$5,$H$5)</f>
        <v>430.73366147923355</v>
      </c>
      <c r="L8" s="99">
        <f ca="1">_xll.DBRW($D$1,$C$5,$B8,$E$5,L$7,$J$5,$L$5,$H$5)</f>
        <v>457.79823480284398</v>
      </c>
      <c r="M8" s="99">
        <f ca="1">_xll.DBRW($D$1,$C$5,$B8,$E$5,M$7,$J$5,$L$5,$H$5)</f>
        <v>484.94018292626237</v>
      </c>
      <c r="N8" s="99">
        <f ca="1">_xll.DBRW($D$1,$C$5,$B8,$E$5,N$7,$J$5,$L$5,$H$5)</f>
        <v>530.77477832249042</v>
      </c>
      <c r="O8" s="99">
        <f ca="1">_xll.DBRW($D$1,$C$5,$B8,$E$5,O$7,$J$5,$L$5,$H$5)</f>
        <v>566.735275359203</v>
      </c>
      <c r="P8" s="99">
        <f ca="1">_xll.DBRW($D$1,$C$5,$B8,$E$5,P$7,$J$5,$L$5,$H$5)</f>
        <v>598.00523139672566</v>
      </c>
    </row>
    <row r="9" spans="1:19" s="3" customFormat="1" ht="15" customHeight="1" x14ac:dyDescent="0.2">
      <c r="B9" s="23" t="s">
        <v>76</v>
      </c>
      <c r="C9" s="40" t="str">
        <f ca="1">_xll.DBRA("region06:channel",B9,"caption_default")</f>
        <v>Retail</v>
      </c>
      <c r="D9" s="64">
        <f ca="1">_xll.DBRW($D$1,$C$5,$B9,$E$5,D$7,$J$5,$L$5,$H$5)</f>
        <v>2200.0000000000005</v>
      </c>
      <c r="E9" s="62">
        <f ca="1">_xll.DBRW($D$1,$C$5,$B9,$E$5,E$7,$J$5,$L$5,$H$5)</f>
        <v>115.92903723383301</v>
      </c>
      <c r="F9" s="62">
        <f ca="1">_xll.DBRW($D$1,$C$5,$B9,$E$5,F$7,$J$5,$L$5,$H$5)</f>
        <v>125.20336021253968</v>
      </c>
      <c r="G9" s="62">
        <f ca="1">_xll.DBRW($D$1,$C$5,$B9,$E$5,G$7,$J$5,$L$5,$H$5)</f>
        <v>135.21962902954289</v>
      </c>
      <c r="H9" s="62">
        <f ca="1">_xll.DBRW($D$1,$C$5,$B9,$E$5,H$7,$J$5,$L$5,$H$5)</f>
        <v>146.03719935190631</v>
      </c>
      <c r="I9" s="62">
        <f ca="1">_xll.DBRW($D$1,$C$5,$B9,$E$5,I$7,$J$5,$L$5,$H$5)</f>
        <v>157.7201753000588</v>
      </c>
      <c r="J9" s="62">
        <f ca="1">_xll.DBRW($D$1,$C$5,$B9,$E$5,J$7,$J$5,$L$5,$H$5)</f>
        <v>170.33778932406352</v>
      </c>
      <c r="K9" s="62">
        <f ca="1">_xll.DBRW($D$1,$C$5,$B9,$E$5,K$7,$J$5,$L$5,$H$5)</f>
        <v>183.9648124699886</v>
      </c>
      <c r="L9" s="62">
        <f ca="1">_xll.DBRW($D$1,$C$5,$B9,$E$5,L$7,$J$5,$L$5,$H$5)</f>
        <v>198.68199746758771</v>
      </c>
      <c r="M9" s="62">
        <f ca="1">_xll.DBRW($D$1,$C$5,$B9,$E$5,M$7,$J$5,$L$5,$H$5)</f>
        <v>214.5765572649947</v>
      </c>
      <c r="N9" s="62">
        <f ca="1">_xll.DBRW($D$1,$C$5,$B9,$E$5,N$7,$J$5,$L$5,$H$5)</f>
        <v>231.74268184619427</v>
      </c>
      <c r="O9" s="62">
        <f ca="1">_xll.DBRW($D$1,$C$5,$B9,$E$5,O$7,$J$5,$L$5,$H$5)</f>
        <v>250.28209639388984</v>
      </c>
      <c r="P9" s="62">
        <f ca="1">_xll.DBRW($D$1,$C$5,$B9,$E$5,P$7,$J$5,$L$5,$H$5)</f>
        <v>270.304664105401</v>
      </c>
    </row>
    <row r="10" spans="1:19" s="3" customFormat="1" ht="15" customHeight="1" x14ac:dyDescent="0.2">
      <c r="B10" s="23" t="s">
        <v>77</v>
      </c>
      <c r="C10" s="40" t="str">
        <f ca="1">_xll.DBRA("region06:channel",B10,"caption_default")</f>
        <v>Internet</v>
      </c>
      <c r="D10" s="64">
        <f ca="1">_xll.DBRW($D$1,$C$5,$B10,$E$5,D$7,$J$5,$L$5,$H$5)</f>
        <v>1393.7416690577622</v>
      </c>
      <c r="E10" s="62">
        <f ca="1">_xll.DBRW($D$1,$C$5,$B10,$E$5,E$7,$J$5,$L$5,$H$5)</f>
        <v>74.716048238148076</v>
      </c>
      <c r="F10" s="62">
        <f ca="1">_xll.DBRW($D$1,$C$5,$B10,$E$5,F$7,$J$5,$L$5,$H$5)</f>
        <v>77.589742401153757</v>
      </c>
      <c r="G10" s="62">
        <f ca="1">_xll.DBRW($D$1,$C$5,$B10,$E$5,G$7,$J$5,$L$5,$H$5)</f>
        <v>80.463436564159466</v>
      </c>
      <c r="H10" s="62">
        <f ca="1">_xll.DBRW($D$1,$C$5,$B10,$E$5,H$7,$J$5,$L$5,$H$5)</f>
        <v>94.831907379187953</v>
      </c>
      <c r="I10" s="62">
        <f ca="1">_xll.DBRW($D$1,$C$5,$B10,$E$5,I$7,$J$5,$L$5,$H$5)</f>
        <v>100.57929570519933</v>
      </c>
      <c r="J10" s="62">
        <f ca="1">_xll.DBRW($D$1,$C$5,$B10,$E$5,J$7,$J$5,$L$5,$H$5)</f>
        <v>106.32668403121073</v>
      </c>
      <c r="K10" s="62">
        <f ca="1">_xll.DBRW($D$1,$C$5,$B10,$E$5,K$7,$J$5,$L$5,$H$5)</f>
        <v>123.56884900924487</v>
      </c>
      <c r="L10" s="62">
        <f ca="1">_xll.DBRW($D$1,$C$5,$B10,$E$5,L$7,$J$5,$L$5,$H$5)</f>
        <v>129.31623733525629</v>
      </c>
      <c r="M10" s="62">
        <f ca="1">_xll.DBRW($D$1,$C$5,$B10,$E$5,M$7,$J$5,$L$5,$H$5)</f>
        <v>135.06362566126765</v>
      </c>
      <c r="N10" s="62">
        <f ca="1">_xll.DBRW($D$1,$C$5,$B10,$E$5,N$7,$J$5,$L$5,$H$5)</f>
        <v>149.43209647629615</v>
      </c>
      <c r="O10" s="62">
        <f ca="1">_xll.DBRW($D$1,$C$5,$B10,$E$5,O$7,$J$5,$L$5,$H$5)</f>
        <v>158.05317896531321</v>
      </c>
      <c r="P10" s="62">
        <f ca="1">_xll.DBRW($D$1,$C$5,$B10,$E$5,P$7,$J$5,$L$5,$H$5)</f>
        <v>163.80056729132463</v>
      </c>
    </row>
    <row r="11" spans="1:19" s="3" customFormat="1" ht="15" customHeight="1" x14ac:dyDescent="0.2">
      <c r="B11" s="23" t="s">
        <v>78</v>
      </c>
      <c r="C11" s="40" t="str">
        <f ca="1">_xll.DBRA("region06:channel",B11,"caption_default")</f>
        <v>Distribution</v>
      </c>
      <c r="D11" s="64">
        <f ca="1">_xll.DBRW($D$1,$C$5,$B11,$E$5,D$7,$J$5,$L$5,$H$5)</f>
        <v>1394.8000000000002</v>
      </c>
      <c r="E11" s="62">
        <f ca="1">_xll.DBRW($D$1,$C$5,$B11,$E$5,E$7,$J$5,$L$5,$H$5)</f>
        <v>74.800000000000011</v>
      </c>
      <c r="F11" s="62">
        <f ca="1">_xll.DBRW($D$1,$C$5,$B11,$E$5,F$7,$J$5,$L$5,$H$5)</f>
        <v>78.100000000000009</v>
      </c>
      <c r="G11" s="62">
        <f ca="1">_xll.DBRW($D$1,$C$5,$B11,$E$5,G$7,$J$5,$L$5,$H$5)</f>
        <v>80.300000000000011</v>
      </c>
      <c r="H11" s="62">
        <f ca="1">_xll.DBRW($D$1,$C$5,$B11,$E$5,H$7,$J$5,$L$5,$H$5)</f>
        <v>94.600000000000009</v>
      </c>
      <c r="I11" s="62">
        <f ca="1">_xll.DBRW($D$1,$C$5,$B11,$E$5,I$7,$J$5,$L$5,$H$5)</f>
        <v>100.10000000000001</v>
      </c>
      <c r="J11" s="62">
        <f ca="1">_xll.DBRW($D$1,$C$5,$B11,$E$5,J$7,$J$5,$L$5,$H$5)</f>
        <v>106.7</v>
      </c>
      <c r="K11" s="62">
        <f ca="1">_xll.DBRW($D$1,$C$5,$B11,$E$5,K$7,$J$5,$L$5,$H$5)</f>
        <v>123.20000000000002</v>
      </c>
      <c r="L11" s="62">
        <f ca="1">_xll.DBRW($D$1,$C$5,$B11,$E$5,L$7,$J$5,$L$5,$H$5)</f>
        <v>129.80000000000001</v>
      </c>
      <c r="M11" s="62">
        <f ca="1">_xll.DBRW($D$1,$C$5,$B11,$E$5,M$7,$J$5,$L$5,$H$5)</f>
        <v>135.30000000000001</v>
      </c>
      <c r="N11" s="62">
        <f ca="1">_xll.DBRW($D$1,$C$5,$B11,$E$5,N$7,$J$5,$L$5,$H$5)</f>
        <v>149.60000000000002</v>
      </c>
      <c r="O11" s="62">
        <f ca="1">_xll.DBRW($D$1,$C$5,$B11,$E$5,O$7,$J$5,$L$5,$H$5)</f>
        <v>158.4</v>
      </c>
      <c r="P11" s="62">
        <f ca="1">_xll.DBRW($D$1,$C$5,$B11,$E$5,P$7,$J$5,$L$5,$H$5)</f>
        <v>163.9</v>
      </c>
    </row>
    <row r="23" spans="2:18" x14ac:dyDescent="0.25"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2:18" s="22" customFormat="1" ht="2.25" customHeight="1" x14ac:dyDescent="0.2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2:18" s="27" customFormat="1" ht="2.25" customHeight="1" x14ac:dyDescent="0.25">
      <c r="C25" s="28" t="s">
        <v>40</v>
      </c>
      <c r="D25" s="29" t="s">
        <v>1</v>
      </c>
      <c r="E25" s="29" t="s">
        <v>19</v>
      </c>
      <c r="F25" s="29" t="s">
        <v>20</v>
      </c>
      <c r="G25" s="29" t="s">
        <v>21</v>
      </c>
      <c r="H25" s="29" t="s">
        <v>22</v>
      </c>
      <c r="I25" s="29" t="s">
        <v>23</v>
      </c>
      <c r="J25" s="29" t="s">
        <v>24</v>
      </c>
      <c r="K25" s="29" t="s">
        <v>25</v>
      </c>
      <c r="L25" s="29" t="s">
        <v>26</v>
      </c>
      <c r="M25" s="29" t="s">
        <v>27</v>
      </c>
      <c r="N25" s="29" t="s">
        <v>28</v>
      </c>
      <c r="O25" s="29" t="s">
        <v>29</v>
      </c>
      <c r="P25" s="29" t="s">
        <v>30</v>
      </c>
      <c r="Q25" s="21"/>
      <c r="R25" s="21"/>
    </row>
    <row r="26" spans="2:18" s="30" customFormat="1" ht="2.25" customHeight="1" x14ac:dyDescent="0.2">
      <c r="B26" s="30" t="s">
        <v>31</v>
      </c>
      <c r="C26" s="31" t="str">
        <f ca="1">_xll.DBRA("region06:channel",B26,"caption_default")</f>
        <v>Channel Total</v>
      </c>
      <c r="D26" s="32">
        <f ca="1">_xll.DBRW($D$1,$C$5,$B26,$E$5,D$7,$J$5,$L$5,"Units Sold")</f>
        <v>4988.5416690577631</v>
      </c>
      <c r="E26" s="32">
        <f ca="1">_xll.DBRW($D$1,$C$5,$B26,$E$5,E$7,$J$5,$L$5,"Units Sold")</f>
        <v>265.44508547198109</v>
      </c>
      <c r="F26" s="32">
        <f ca="1">_xll.DBRW($D$1,$C$5,$B26,$E$5,F$7,$J$5,$L$5,"Units Sold")</f>
        <v>280.89310261369343</v>
      </c>
      <c r="G26" s="32">
        <f ca="1">_xll.DBRW($D$1,$C$5,$B26,$E$5,G$7,$J$5,$L$5,"Units Sold")</f>
        <v>295.98306559370235</v>
      </c>
      <c r="H26" s="32">
        <f ca="1">_xll.DBRW($D$1,$C$5,$B26,$E$5,H$7,$J$5,$L$5,"Units Sold")</f>
        <v>335.46910673109426</v>
      </c>
      <c r="I26" s="32">
        <f ca="1">_xll.DBRW($D$1,$C$5,$B26,$E$5,I$7,$J$5,$L$5,"Units Sold")</f>
        <v>358.39947100525814</v>
      </c>
      <c r="J26" s="32">
        <f ca="1">_xll.DBRW($D$1,$C$5,$B26,$E$5,J$7,$J$5,$L$5,"Units Sold")</f>
        <v>383.36447335527424</v>
      </c>
      <c r="K26" s="32">
        <f ca="1">_xll.DBRW($D$1,$C$5,$B26,$E$5,K$7,$J$5,$L$5,"Units Sold")</f>
        <v>430.73366147923355</v>
      </c>
      <c r="L26" s="32">
        <f ca="1">_xll.DBRW($D$1,$C$5,$B26,$E$5,L$7,$J$5,$L$5,"Units Sold")</f>
        <v>457.79823480284398</v>
      </c>
      <c r="M26" s="32">
        <f ca="1">_xll.DBRW($D$1,$C$5,$B26,$E$5,M$7,$J$5,$L$5,"Units Sold")</f>
        <v>484.94018292626237</v>
      </c>
      <c r="N26" s="32">
        <f ca="1">_xll.DBRW($D$1,$C$5,$B26,$E$5,N$7,$J$5,$L$5,"Units Sold")</f>
        <v>530.77477832249042</v>
      </c>
      <c r="O26" s="32">
        <f ca="1">_xll.DBRW($D$1,$C$5,$B26,$E$5,O$7,$J$5,$L$5,"Units Sold")</f>
        <v>566.735275359203</v>
      </c>
      <c r="P26" s="32">
        <f ca="1">_xll.DBRW($D$1,$C$5,$B26,$E$5,P$7,$J$5,$L$5,"Units Sold")</f>
        <v>598.00523139672566</v>
      </c>
      <c r="Q26" s="33"/>
      <c r="R26" s="33"/>
    </row>
    <row r="27" spans="2:18" s="30" customFormat="1" ht="2.25" customHeight="1" x14ac:dyDescent="0.2">
      <c r="B27" s="30" t="s">
        <v>76</v>
      </c>
      <c r="C27" s="34" t="str">
        <f ca="1">_xll.DBRA("region06:channel",B27,"caption_default")</f>
        <v>Retail</v>
      </c>
      <c r="D27" s="32">
        <f ca="1">_xll.DBRW($D$1,$C$5,$B27,$E$5,D$7,$J$5,$L$5,"Units Sold")</f>
        <v>2200.0000000000005</v>
      </c>
      <c r="E27" s="32">
        <f ca="1">_xll.DBRW($D$1,$C$5,$B27,$E$5,E$7,$J$5,$L$5,"Units Sold")</f>
        <v>115.92903723383301</v>
      </c>
      <c r="F27" s="32">
        <f ca="1">_xll.DBRW($D$1,$C$5,$B27,$E$5,F$7,$J$5,$L$5,"Units Sold")</f>
        <v>125.20336021253968</v>
      </c>
      <c r="G27" s="32">
        <f ca="1">_xll.DBRW($D$1,$C$5,$B27,$E$5,G$7,$J$5,$L$5,"Units Sold")</f>
        <v>135.21962902954289</v>
      </c>
      <c r="H27" s="32">
        <f ca="1">_xll.DBRW($D$1,$C$5,$B27,$E$5,H$7,$J$5,$L$5,"Units Sold")</f>
        <v>146.03719935190631</v>
      </c>
      <c r="I27" s="32">
        <f ca="1">_xll.DBRW($D$1,$C$5,$B27,$E$5,I$7,$J$5,$L$5,"Units Sold")</f>
        <v>157.7201753000588</v>
      </c>
      <c r="J27" s="32">
        <f ca="1">_xll.DBRW($D$1,$C$5,$B27,$E$5,J$7,$J$5,$L$5,"Units Sold")</f>
        <v>170.33778932406352</v>
      </c>
      <c r="K27" s="32">
        <f ca="1">_xll.DBRW($D$1,$C$5,$B27,$E$5,K$7,$J$5,$L$5,"Units Sold")</f>
        <v>183.9648124699886</v>
      </c>
      <c r="L27" s="32">
        <f ca="1">_xll.DBRW($D$1,$C$5,$B27,$E$5,L$7,$J$5,$L$5,"Units Sold")</f>
        <v>198.68199746758771</v>
      </c>
      <c r="M27" s="32">
        <f ca="1">_xll.DBRW($D$1,$C$5,$B27,$E$5,M$7,$J$5,$L$5,"Units Sold")</f>
        <v>214.5765572649947</v>
      </c>
      <c r="N27" s="32">
        <f ca="1">_xll.DBRW($D$1,$C$5,$B27,$E$5,N$7,$J$5,$L$5,"Units Sold")</f>
        <v>231.74268184619427</v>
      </c>
      <c r="O27" s="32">
        <f ca="1">_xll.DBRW($D$1,$C$5,$B27,$E$5,O$7,$J$5,$L$5,"Units Sold")</f>
        <v>250.28209639388984</v>
      </c>
      <c r="P27" s="32">
        <f ca="1">_xll.DBRW($D$1,$C$5,$B27,$E$5,P$7,$J$5,$L$5,"Units Sold")</f>
        <v>270.304664105401</v>
      </c>
      <c r="Q27" s="33"/>
      <c r="R27" s="33"/>
    </row>
    <row r="28" spans="2:18" s="30" customFormat="1" ht="2.25" customHeight="1" x14ac:dyDescent="0.2">
      <c r="B28" s="30" t="s">
        <v>77</v>
      </c>
      <c r="C28" s="34" t="str">
        <f ca="1">_xll.DBRA("region06:channel",B28,"caption_default")</f>
        <v>Internet</v>
      </c>
      <c r="D28" s="32">
        <f ca="1">_xll.DBRW($D$1,$C$5,$B28,$E$5,D$7,$J$5,$L$5,"Units Sold")</f>
        <v>1393.7416690577622</v>
      </c>
      <c r="E28" s="32">
        <f ca="1">_xll.DBRW($D$1,$C$5,$B28,$E$5,E$7,$J$5,$L$5,"Units Sold")</f>
        <v>74.716048238148076</v>
      </c>
      <c r="F28" s="32">
        <f ca="1">_xll.DBRW($D$1,$C$5,$B28,$E$5,F$7,$J$5,$L$5,"Units Sold")</f>
        <v>77.589742401153757</v>
      </c>
      <c r="G28" s="32">
        <f ca="1">_xll.DBRW($D$1,$C$5,$B28,$E$5,G$7,$J$5,$L$5,"Units Sold")</f>
        <v>80.463436564159466</v>
      </c>
      <c r="H28" s="32">
        <f ca="1">_xll.DBRW($D$1,$C$5,$B28,$E$5,H$7,$J$5,$L$5,"Units Sold")</f>
        <v>94.831907379187953</v>
      </c>
      <c r="I28" s="32">
        <f ca="1">_xll.DBRW($D$1,$C$5,$B28,$E$5,I$7,$J$5,$L$5,"Units Sold")</f>
        <v>100.57929570519933</v>
      </c>
      <c r="J28" s="32">
        <f ca="1">_xll.DBRW($D$1,$C$5,$B28,$E$5,J$7,$J$5,$L$5,"Units Sold")</f>
        <v>106.32668403121073</v>
      </c>
      <c r="K28" s="32">
        <f ca="1">_xll.DBRW($D$1,$C$5,$B28,$E$5,K$7,$J$5,$L$5,"Units Sold")</f>
        <v>123.56884900924487</v>
      </c>
      <c r="L28" s="32">
        <f ca="1">_xll.DBRW($D$1,$C$5,$B28,$E$5,L$7,$J$5,$L$5,"Units Sold")</f>
        <v>129.31623733525629</v>
      </c>
      <c r="M28" s="32">
        <f ca="1">_xll.DBRW($D$1,$C$5,$B28,$E$5,M$7,$J$5,$L$5,"Units Sold")</f>
        <v>135.06362566126765</v>
      </c>
      <c r="N28" s="32">
        <f ca="1">_xll.DBRW($D$1,$C$5,$B28,$E$5,N$7,$J$5,$L$5,"Units Sold")</f>
        <v>149.43209647629615</v>
      </c>
      <c r="O28" s="32">
        <f ca="1">_xll.DBRW($D$1,$C$5,$B28,$E$5,O$7,$J$5,$L$5,"Units Sold")</f>
        <v>158.05317896531321</v>
      </c>
      <c r="P28" s="32">
        <f ca="1">_xll.DBRW($D$1,$C$5,$B28,$E$5,P$7,$J$5,$L$5,"Units Sold")</f>
        <v>163.80056729132463</v>
      </c>
      <c r="Q28" s="33"/>
      <c r="R28" s="33"/>
    </row>
    <row r="29" spans="2:18" s="30" customFormat="1" ht="2.25" customHeight="1" x14ac:dyDescent="0.2">
      <c r="B29" s="30" t="s">
        <v>78</v>
      </c>
      <c r="C29" s="34" t="str">
        <f ca="1">_xll.DBRA("region06:channel",B29,"caption_default")</f>
        <v>Distribution</v>
      </c>
      <c r="D29" s="32">
        <f ca="1">_xll.DBRW($D$1,$C$5,$B29,$E$5,D$7,$J$5,$L$5,"Units Sold")</f>
        <v>1394.8000000000002</v>
      </c>
      <c r="E29" s="32">
        <f ca="1">_xll.DBRW($D$1,$C$5,$B29,$E$5,E$7,$J$5,$L$5,"Units Sold")</f>
        <v>74.800000000000011</v>
      </c>
      <c r="F29" s="32">
        <f ca="1">_xll.DBRW($D$1,$C$5,$B29,$E$5,F$7,$J$5,$L$5,"Units Sold")</f>
        <v>78.100000000000009</v>
      </c>
      <c r="G29" s="32">
        <f ca="1">_xll.DBRW($D$1,$C$5,$B29,$E$5,G$7,$J$5,$L$5,"Units Sold")</f>
        <v>80.300000000000011</v>
      </c>
      <c r="H29" s="32">
        <f ca="1">_xll.DBRW($D$1,$C$5,$B29,$E$5,H$7,$J$5,$L$5,"Units Sold")</f>
        <v>94.600000000000009</v>
      </c>
      <c r="I29" s="32">
        <f ca="1">_xll.DBRW($D$1,$C$5,$B29,$E$5,I$7,$J$5,$L$5,"Units Sold")</f>
        <v>100.10000000000001</v>
      </c>
      <c r="J29" s="32">
        <f ca="1">_xll.DBRW($D$1,$C$5,$B29,$E$5,J$7,$J$5,$L$5,"Units Sold")</f>
        <v>106.7</v>
      </c>
      <c r="K29" s="32">
        <f ca="1">_xll.DBRW($D$1,$C$5,$B29,$E$5,K$7,$J$5,$L$5,"Units Sold")</f>
        <v>123.20000000000002</v>
      </c>
      <c r="L29" s="32">
        <f ca="1">_xll.DBRW($D$1,$C$5,$B29,$E$5,L$7,$J$5,$L$5,"Units Sold")</f>
        <v>129.80000000000001</v>
      </c>
      <c r="M29" s="32">
        <f ca="1">_xll.DBRW($D$1,$C$5,$B29,$E$5,M$7,$J$5,$L$5,"Units Sold")</f>
        <v>135.30000000000001</v>
      </c>
      <c r="N29" s="32">
        <f ca="1">_xll.DBRW($D$1,$C$5,$B29,$E$5,N$7,$J$5,$L$5,"Units Sold")</f>
        <v>149.60000000000002</v>
      </c>
      <c r="O29" s="32">
        <f ca="1">_xll.DBRW($D$1,$C$5,$B29,$E$5,O$7,$J$5,$L$5,"Units Sold")</f>
        <v>158.4</v>
      </c>
      <c r="P29" s="32">
        <f ca="1">_xll.DBRW($D$1,$C$5,$B29,$E$5,P$7,$J$5,$L$5,"Units Sold")</f>
        <v>163.9</v>
      </c>
      <c r="Q29" s="33"/>
      <c r="R29" s="33"/>
    </row>
    <row r="30" spans="2:18" s="25" customFormat="1" ht="28.5" customHeight="1" x14ac:dyDescent="0.25"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  <row r="31" spans="2:18" s="1" customFormat="1" ht="9.9499999999999993" customHeight="1" x14ac:dyDescent="0.25"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</sheetData>
  <mergeCells count="11">
    <mergeCell ref="C2:D2"/>
    <mergeCell ref="E4:G4"/>
    <mergeCell ref="E5:G5"/>
    <mergeCell ref="C4:D4"/>
    <mergeCell ref="C5:D5"/>
    <mergeCell ref="L5:M5"/>
    <mergeCell ref="L4:M4"/>
    <mergeCell ref="H5:I5"/>
    <mergeCell ref="H4:I4"/>
    <mergeCell ref="J5:K5"/>
    <mergeCell ref="J4:K4"/>
  </mergeCells>
  <phoneticPr fontId="0" type="noConversion"/>
  <pageMargins left="0.25" right="0.25" top="0.75" bottom="0.75" header="0.3" footer="0.3"/>
  <pageSetup scale="93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P15"/>
  <sheetViews>
    <sheetView showGridLines="0" showRowColHeaders="0" topLeftCell="A2" workbookViewId="0"/>
  </sheetViews>
  <sheetFormatPr defaultRowHeight="15" x14ac:dyDescent="0.25"/>
  <cols>
    <col min="1" max="1" width="1.28515625" customWidth="1"/>
    <col min="2" max="2" width="15" hidden="1" customWidth="1"/>
    <col min="3" max="3" width="18.28515625" customWidth="1"/>
    <col min="4" max="4" width="8.42578125" customWidth="1"/>
    <col min="5" max="7" width="17.140625" customWidth="1"/>
  </cols>
  <sheetData>
    <row r="1" spans="1:16" ht="16.5" hidden="1" customHeight="1" x14ac:dyDescent="0.25">
      <c r="C1" t="s">
        <v>18</v>
      </c>
      <c r="E1" t="str">
        <f ca="1">_xll.VIEW("region06:Revenue",$C$5,"!",$D$5,$G$5,$H$5,$I$5,"!")</f>
        <v>region06:Revenue</v>
      </c>
    </row>
    <row r="2" spans="1:16" ht="21" customHeight="1" x14ac:dyDescent="0.25">
      <c r="A2" s="39"/>
      <c r="B2" s="39"/>
      <c r="C2" s="119"/>
      <c r="D2" s="120"/>
      <c r="E2" s="121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16" ht="6.75" customHeight="1" x14ac:dyDescent="0.25"/>
    <row r="4" spans="1:16" x14ac:dyDescent="0.25">
      <c r="C4" s="68" t="s">
        <v>7</v>
      </c>
      <c r="D4" s="124" t="s">
        <v>32</v>
      </c>
      <c r="E4" s="123"/>
      <c r="F4" s="69" t="s">
        <v>42</v>
      </c>
      <c r="G4" s="69" t="s">
        <v>1</v>
      </c>
      <c r="H4" s="124" t="s">
        <v>2</v>
      </c>
      <c r="I4" s="122"/>
    </row>
    <row r="5" spans="1:16" x14ac:dyDescent="0.25">
      <c r="C5" s="75" t="str">
        <f ca="1">_xll.SUBNM("region06:organization","Workflow","Total Company","Caption_Default")</f>
        <v>Total Company</v>
      </c>
      <c r="D5" s="129" t="str">
        <f ca="1">_xll.SUBNM("region06:product","New",1,"Caption_Default")</f>
        <v>4G 16Gb</v>
      </c>
      <c r="E5" s="129"/>
      <c r="F5" s="75" t="str">
        <f ca="1">_xll.SUBNM("region06:Month","MY","Year")</f>
        <v>Year</v>
      </c>
      <c r="G5" s="75" t="str">
        <f ca="1">_xll.SUBNM("region06:Year","Default","Y2","Caption_Default")</f>
        <v>2015</v>
      </c>
      <c r="H5" s="129" t="str">
        <f ca="1">_xll.SUBNM("region06:Version","Current",_xll.DBR("region06:Calendar","Current Version","String"),"Caption_Default")</f>
        <v>Budget</v>
      </c>
      <c r="I5" s="129"/>
    </row>
    <row r="6" spans="1:16" ht="6" customHeight="1" x14ac:dyDescent="0.25"/>
    <row r="7" spans="1:16" hidden="1" x14ac:dyDescent="0.25">
      <c r="E7" t="s">
        <v>31</v>
      </c>
      <c r="F7" s="19" t="s">
        <v>76</v>
      </c>
      <c r="G7" s="19" t="s">
        <v>77</v>
      </c>
      <c r="H7" s="19" t="s">
        <v>78</v>
      </c>
    </row>
    <row r="8" spans="1:16" ht="15.75" thickBot="1" x14ac:dyDescent="0.3">
      <c r="C8" s="77"/>
      <c r="D8" s="77"/>
      <c r="E8" s="101" t="s">
        <v>31</v>
      </c>
      <c r="F8" s="100" t="str">
        <f ca="1">_xll.DBRA("region06:Channel",F7,"caption_default")</f>
        <v>Retail</v>
      </c>
      <c r="G8" s="100" t="str">
        <f ca="1">_xll.DBRA("region06:Channel",G7,"caption_default")</f>
        <v>Internet</v>
      </c>
      <c r="H8" s="118" t="str">
        <f ca="1">_xll.DBRA("region06:Channel",H7,"caption_default")</f>
        <v>Distribution</v>
      </c>
      <c r="I8" s="135"/>
    </row>
    <row r="9" spans="1:16" ht="15" customHeight="1" thickTop="1" x14ac:dyDescent="0.25">
      <c r="B9" s="19" t="s">
        <v>43</v>
      </c>
      <c r="C9" s="40" t="str">
        <f ca="1">_xll.DBRA("region06:Revenue",$B9,"Caption_Default")</f>
        <v>Unit Net Sales Price</v>
      </c>
      <c r="D9" s="38"/>
      <c r="E9" s="78">
        <f ca="1">_xll.DBRW($E$1,$C$5,E$7,$D$5,$F$5,$G$5,$H$5,$C9)</f>
        <v>474.54461649149528</v>
      </c>
      <c r="F9" s="67">
        <f ca="1">_xll.DBRW($E$1,$C$5,F$7,$D$5,$F$5,$G$5,$H$5,$C9)</f>
        <v>500</v>
      </c>
      <c r="G9" s="67">
        <f ca="1">_xll.DBRW($E$1,$C$5,G$7,$D$5,$F$5,$G$5,$H$5,$C9)</f>
        <v>449.99999999999994</v>
      </c>
      <c r="H9" s="138">
        <f ca="1">_xll.DBRW($E$1,$C$5,H$7,$D$5,$F$5,$G$5,$H$5,$C9)</f>
        <v>273.00000000000006</v>
      </c>
      <c r="I9" s="139"/>
    </row>
    <row r="10" spans="1:16" ht="15" customHeight="1" x14ac:dyDescent="0.25">
      <c r="B10" t="s">
        <v>40</v>
      </c>
      <c r="C10" s="40" t="str">
        <f ca="1">_xll.DBRA("region06:Revenue",$B10,"Caption_Default")</f>
        <v>Volume - Units</v>
      </c>
      <c r="D10" s="38"/>
      <c r="E10" s="79">
        <f ca="1">_xll.DBRW($E$1,$C$5,E$7,$D$5,$F$5,$G$5,$H$5,$C10)</f>
        <v>37258.471597413358</v>
      </c>
      <c r="F10" s="43">
        <f ca="1">_xll.DBRW($E$1,$C$5,F$7,$D$5,$F$5,$G$5,$H$5,$C10)</f>
        <v>26771.029928355598</v>
      </c>
      <c r="G10" s="43">
        <f ca="1">_xll.DBRW($E$1,$C$5,G$7,$D$5,$F$5,$G$5,$H$5,$C10)</f>
        <v>8091.6416690577626</v>
      </c>
      <c r="H10" s="140">
        <f ca="1">_xll.DBRW($E$1,$C$5,H$7,$D$5,$F$5,$G$5,$H$5,$C10)</f>
        <v>2395.8000000000002</v>
      </c>
      <c r="I10" s="141"/>
    </row>
    <row r="11" spans="1:16" ht="15" customHeight="1" x14ac:dyDescent="0.25">
      <c r="B11" t="s">
        <v>41</v>
      </c>
      <c r="C11" s="40" t="str">
        <f ca="1">_xll.DBRA("region06:Revenue",$B11,"Caption_Default")</f>
        <v>Gross Revenue</v>
      </c>
      <c r="D11" s="38"/>
      <c r="E11" s="79">
        <f ca="1">_xll.DBRW($E$1,$C$5,E$7,$D$5,$F$5,$G$5,$H$5,$C11)</f>
        <v>17680807.115253791</v>
      </c>
      <c r="F11" s="43">
        <f ca="1">_xll.DBRW($E$1,$C$5,F$7,$D$5,$F$5,$G$5,$H$5,$C11)</f>
        <v>13385514.964177798</v>
      </c>
      <c r="G11" s="43">
        <f ca="1">_xll.DBRW($E$1,$C$5,G$7,$D$5,$F$5,$G$5,$H$5,$C11)</f>
        <v>3641238.7510759928</v>
      </c>
      <c r="H11" s="140">
        <f ca="1">_xll.DBRW($E$1,$C$5,H$7,$D$5,$F$5,$G$5,$H$5,$C11)</f>
        <v>654053.40000000014</v>
      </c>
      <c r="I11" s="141"/>
    </row>
    <row r="12" spans="1:16" ht="15" customHeight="1" x14ac:dyDescent="0.25">
      <c r="B12" t="s">
        <v>44</v>
      </c>
      <c r="C12" s="40" t="str">
        <f ca="1">_xll.DBRA("region06:Revenue",$B12,"Caption_Default")</f>
        <v>Unit Direct Cost</v>
      </c>
      <c r="D12" s="38"/>
      <c r="E12" s="78">
        <f ca="1">_xll.DBRW($E$1,$C$5,E$7,$D$5,$F$5,$G$5,$H$5,$C12)</f>
        <v>217.63523748020393</v>
      </c>
      <c r="F12" s="67">
        <f ca="1">_xll.DBRW($E$1,$C$5,F$7,$D$5,$F$5,$G$5,$H$5,$C12)</f>
        <v>174.88589494961184</v>
      </c>
      <c r="G12" s="67">
        <f ca="1">_xll.DBRW($E$1,$C$5,G$7,$D$5,$F$5,$G$5,$H$5,$C12)</f>
        <v>259.3170308236738</v>
      </c>
      <c r="H12" s="138">
        <f ca="1">_xll.DBRW($E$1,$C$5,H$7,$D$5,$F$5,$G$5,$H$5,$C12)</f>
        <v>554.54557742716429</v>
      </c>
      <c r="I12" s="139"/>
    </row>
    <row r="13" spans="1:16" ht="15" customHeight="1" x14ac:dyDescent="0.25">
      <c r="B13" t="s">
        <v>45</v>
      </c>
      <c r="C13" s="40" t="str">
        <f ca="1">_xll.DBRA("region06:Revenue",$B13,"Caption_Default")</f>
        <v>Total Cost of Goods Sold</v>
      </c>
      <c r="D13" s="38"/>
      <c r="E13" s="79">
        <f ca="1">_xll.DBRW($E$1,$C$5,E$7,$D$5,$F$5,$G$5,$H$5,$C13)</f>
        <v>8108756.3142524892</v>
      </c>
      <c r="F13" s="43">
        <f ca="1">_xll.DBRW($E$1,$C$5,F$7,$D$5,$F$5,$G$5,$H$5,$C13)</f>
        <v>4681875.5277433116</v>
      </c>
      <c r="G13" s="43">
        <f ca="1">_xll.DBRW($E$1,$C$5,G$7,$D$5,$F$5,$G$5,$H$5,$C13)</f>
        <v>2098300.4921091753</v>
      </c>
      <c r="H13" s="140">
        <f ca="1">_xll.DBRW($E$1,$C$5,H$7,$D$5,$F$5,$G$5,$H$5,$C13)</f>
        <v>1328580.2944000002</v>
      </c>
      <c r="I13" s="141"/>
    </row>
    <row r="14" spans="1:16" ht="15" customHeight="1" x14ac:dyDescent="0.25">
      <c r="B14" t="s">
        <v>46</v>
      </c>
      <c r="C14" s="40" t="str">
        <f ca="1">_xll.DBRA("region06:Revenue",$B14,"Caption_Default")</f>
        <v>Gross Margin</v>
      </c>
      <c r="D14" s="38"/>
      <c r="E14" s="79">
        <f ca="1">_xll.DBRW($E$1,$C$5,E$7,$D$5,$F$5,$G$5,$H$5,$C14)</f>
        <v>9572050.8010013048</v>
      </c>
      <c r="F14" s="43">
        <f ca="1">_xll.DBRW($E$1,$C$5,F$7,$D$5,$F$5,$G$5,$H$5,$C14)</f>
        <v>8703639.4364344887</v>
      </c>
      <c r="G14" s="43">
        <f ca="1">_xll.DBRW($E$1,$C$5,G$7,$D$5,$F$5,$G$5,$H$5,$C14)</f>
        <v>1542938.2589668178</v>
      </c>
      <c r="H14" s="140">
        <f ca="1">_xll.DBRW($E$1,$C$5,H$7,$D$5,$F$5,$G$5,$H$5,$C14)</f>
        <v>-674526.89439999999</v>
      </c>
      <c r="I14" s="141"/>
    </row>
    <row r="15" spans="1:16" ht="15" customHeight="1" x14ac:dyDescent="0.25">
      <c r="B15" t="s">
        <v>47</v>
      </c>
      <c r="C15" s="40" t="str">
        <f ca="1">_xll.DBRA("region06:Revenue",$B15,"Caption_Default")</f>
        <v>Gross Margin %</v>
      </c>
      <c r="D15" s="38"/>
      <c r="E15" s="80">
        <f ca="1">_xll.DBRW($E$1,$C$5,E$7,$D$5,$F$5,$G$5,$H$5,$C15)</f>
        <v>54.138087354299536</v>
      </c>
      <c r="F15" s="45">
        <f ca="1">_xll.DBRW($E$1,$C$5,F$7,$D$5,$F$5,$G$5,$H$5,$C15)</f>
        <v>65.022821010077649</v>
      </c>
      <c r="G15" s="45">
        <f ca="1">_xll.DBRW($E$1,$C$5,G$7,$D$5,$F$5,$G$5,$H$5,$C15)</f>
        <v>42.373993150294709</v>
      </c>
      <c r="H15" s="136">
        <f ca="1">_xll.DBRW($E$1,$C$5,H$7,$D$5,$F$5,$G$5,$H$5,$C15)</f>
        <v>-103.13024814181837</v>
      </c>
      <c r="I15" s="137"/>
    </row>
  </sheetData>
  <mergeCells count="13">
    <mergeCell ref="C2:E2"/>
    <mergeCell ref="H4:I4"/>
    <mergeCell ref="H5:I5"/>
    <mergeCell ref="D5:E5"/>
    <mergeCell ref="D4:E4"/>
    <mergeCell ref="H8:I8"/>
    <mergeCell ref="H15:I15"/>
    <mergeCell ref="H9:I9"/>
    <mergeCell ref="H10:I10"/>
    <mergeCell ref="H11:I11"/>
    <mergeCell ref="H12:I12"/>
    <mergeCell ref="H13:I13"/>
    <mergeCell ref="H14:I14"/>
  </mergeCells>
  <phoneticPr fontId="10" type="noConversion"/>
  <pageMargins left="0.75" right="0.75" top="1" bottom="1" header="0.5" footer="0.5"/>
  <pageSetup fitToHeight="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23"/>
  <sheetViews>
    <sheetView topLeftCell="A2" workbookViewId="0"/>
  </sheetViews>
  <sheetFormatPr defaultRowHeight="15" x14ac:dyDescent="0.25"/>
  <cols>
    <col min="1" max="1" width="17" customWidth="1"/>
    <col min="7" max="7" width="14.85546875" customWidth="1"/>
  </cols>
  <sheetData>
    <row r="1" spans="1:13" x14ac:dyDescent="0.25">
      <c r="A1" s="2" t="s">
        <v>10</v>
      </c>
      <c r="D1" s="2" t="s">
        <v>16</v>
      </c>
      <c r="G1" s="2" t="s">
        <v>36</v>
      </c>
      <c r="H1" s="2"/>
      <c r="I1" s="2" t="s">
        <v>37</v>
      </c>
      <c r="J1" s="2"/>
      <c r="K1" s="2"/>
      <c r="L1" s="2"/>
      <c r="M1" s="2" t="s">
        <v>38</v>
      </c>
    </row>
    <row r="2" spans="1:13" x14ac:dyDescent="0.25">
      <c r="A2" t="s">
        <v>11</v>
      </c>
      <c r="D2" t="s">
        <v>9</v>
      </c>
      <c r="E2">
        <v>1</v>
      </c>
      <c r="G2" t="s">
        <v>39</v>
      </c>
      <c r="I2" t="str">
        <f ca="1">_xll.SUBNM("smartco:product","Product Groups",ROW()-1,"Label")</f>
        <v/>
      </c>
      <c r="M2" t="str">
        <f ca="1">_xll.SUBNM("smartco:Spread Methods","Default",ROW()-1,"Caption_Default")</f>
        <v/>
      </c>
    </row>
    <row r="3" spans="1:13" x14ac:dyDescent="0.25">
      <c r="A3" t="s">
        <v>12</v>
      </c>
      <c r="D3" t="s">
        <v>17</v>
      </c>
      <c r="E3">
        <v>0</v>
      </c>
      <c r="G3" t="s">
        <v>35</v>
      </c>
      <c r="I3" t="str">
        <f ca="1">_xll.SUBNM("smartco:product","Product Groups",ROW()-1,"Label")</f>
        <v/>
      </c>
      <c r="M3" t="str">
        <f ca="1">_xll.SUBNM("smartco:Spread Methods","Default",ROW()-1,"Caption_Default")</f>
        <v/>
      </c>
    </row>
    <row r="4" spans="1:13" x14ac:dyDescent="0.25">
      <c r="A4" t="s">
        <v>13</v>
      </c>
      <c r="I4" t="str">
        <f ca="1">_xll.SUBNM("smartco:product","Product Groups",ROW()-1,"Label")</f>
        <v/>
      </c>
      <c r="M4" t="str">
        <f ca="1">_xll.SUBNM("smartco:Spread Methods","Default",ROW()-1,"Caption_Default")</f>
        <v/>
      </c>
    </row>
    <row r="5" spans="1:13" x14ac:dyDescent="0.25">
      <c r="A5" t="s">
        <v>14</v>
      </c>
      <c r="I5" t="str">
        <f ca="1">_xll.SUBNM("smartco:product","Product Groups",ROW()-1,"Label")</f>
        <v/>
      </c>
      <c r="M5" t="str">
        <f ca="1">_xll.SUBNM("smartco:Spread Methods","Default",ROW()-1,"Caption_Default")</f>
        <v/>
      </c>
    </row>
    <row r="6" spans="1:13" x14ac:dyDescent="0.25">
      <c r="A6" t="s">
        <v>15</v>
      </c>
      <c r="I6" t="str">
        <f ca="1">_xll.SUBNM("smartco:product","Product Groups",ROW()-1,"Label")</f>
        <v/>
      </c>
      <c r="M6" t="str">
        <f ca="1">_xll.SUBNM("smartco:Spread Methods","Default",ROW()-1,"Caption_Default")</f>
        <v/>
      </c>
    </row>
    <row r="7" spans="1:13" x14ac:dyDescent="0.25">
      <c r="I7" t="str">
        <f ca="1">_xll.SUBNM("smartco:product","Product Groups",ROW()-1,"Label")</f>
        <v/>
      </c>
      <c r="M7" t="str">
        <f ca="1">_xll.SUBNM("smartco:Spread Methods","Default",ROW()-1,"Caption_Default")</f>
        <v/>
      </c>
    </row>
    <row r="8" spans="1:13" x14ac:dyDescent="0.25">
      <c r="I8" t="str">
        <f ca="1">_xll.SUBNM("smartco:product","Product Groups",ROW()-1,"Label")</f>
        <v/>
      </c>
      <c r="M8" t="str">
        <f ca="1">_xll.SUBNM("smartco:Spread Methods","Default",ROW()-1,"Caption_Default")</f>
        <v/>
      </c>
    </row>
    <row r="9" spans="1:13" x14ac:dyDescent="0.25">
      <c r="I9" t="str">
        <f ca="1">_xll.SUBNM("smartco:product","Product Groups",ROW()-1,"Label")</f>
        <v/>
      </c>
      <c r="M9" t="str">
        <f ca="1">_xll.SUBNM("smartco:Spread Methods","Default",ROW()-1,"Caption_Default")</f>
        <v/>
      </c>
    </row>
    <row r="10" spans="1:13" x14ac:dyDescent="0.25">
      <c r="I10" t="str">
        <f ca="1">_xll.SUBNM("smartco:product","Product Groups",ROW()-1,"Label")</f>
        <v/>
      </c>
      <c r="M10" t="str">
        <f ca="1">_xll.SUBNM("smartco:Spread Methods","Default",ROW()-1,"Caption_Default")</f>
        <v/>
      </c>
    </row>
    <row r="11" spans="1:13" x14ac:dyDescent="0.25">
      <c r="I11" t="str">
        <f ca="1">_xll.SUBNM("smartco:product","Product Groups",ROW()-1,"Label")</f>
        <v/>
      </c>
      <c r="M11" t="str">
        <f ca="1">_xll.SUBNM("smartco:Spread Methods","Default",ROW()-1,"Caption_Default")</f>
        <v/>
      </c>
    </row>
    <row r="12" spans="1:13" x14ac:dyDescent="0.25">
      <c r="M12" t="str">
        <f ca="1">_xll.SUBNM("smartco:Spread Methods","Default",ROW()-1,"Caption_Default")</f>
        <v/>
      </c>
    </row>
    <row r="13" spans="1:13" x14ac:dyDescent="0.25">
      <c r="M13" t="str">
        <f ca="1">_xll.SUBNM("smartco:Spread Methods","Default",ROW()-1,"Caption_Default")</f>
        <v/>
      </c>
    </row>
    <row r="14" spans="1:13" x14ac:dyDescent="0.25">
      <c r="M14" t="str">
        <f ca="1">_xll.SUBNM("smartco:Spread Methods","Default",ROW()-1,"Caption_Default")</f>
        <v/>
      </c>
    </row>
    <row r="15" spans="1:13" x14ac:dyDescent="0.25">
      <c r="M15" t="str">
        <f ca="1">_xll.SUBNM("smartco:Spread Methods","Default",ROW()-1,"Caption_Default")</f>
        <v/>
      </c>
    </row>
    <row r="16" spans="1:13" x14ac:dyDescent="0.25">
      <c r="M16" t="str">
        <f ca="1">_xll.SUBNM("smartco:Spread Methods","Default",ROW()-1,"Caption_Default")</f>
        <v/>
      </c>
    </row>
    <row r="17" spans="9:13" x14ac:dyDescent="0.25">
      <c r="M17" t="str">
        <f ca="1">_xll.SUBNM("smartco:Spread Methods","Default",ROW()-1,"Caption_Default")</f>
        <v/>
      </c>
    </row>
    <row r="18" spans="9:13" x14ac:dyDescent="0.25">
      <c r="I18" t="str">
        <f ca="1">_xll.SUBNM("smartco:product","Product Groups",ROW(),"Label")</f>
        <v/>
      </c>
      <c r="M18" t="str">
        <f ca="1">_xll.SUBNM("smartco:Spread Methods","Default",ROW()-1,"Caption_Default")</f>
        <v/>
      </c>
    </row>
    <row r="19" spans="9:13" x14ac:dyDescent="0.25">
      <c r="M19" t="str">
        <f ca="1">_xll.SUBNM("smartco:Spread Methods","Default",ROW()-1,"Caption_Default")</f>
        <v/>
      </c>
    </row>
    <row r="20" spans="9:13" x14ac:dyDescent="0.25">
      <c r="M20" t="str">
        <f ca="1">_xll.SUBNM("smartco:Spread Methods","Default",ROW()-1,"Caption_Default")</f>
        <v/>
      </c>
    </row>
    <row r="21" spans="9:13" x14ac:dyDescent="0.25">
      <c r="M21" t="str">
        <f ca="1">_xll.SUBNM("smartco:Spread Methods","Default",ROW()-1,"Caption_Default")</f>
        <v/>
      </c>
    </row>
    <row r="22" spans="9:13" x14ac:dyDescent="0.25">
      <c r="M22" t="str">
        <f ca="1">_xll.SUBNM("smartco:Spread Methods","Default",ROW()-1,"Caption_Default")</f>
        <v/>
      </c>
    </row>
    <row r="23" spans="9:13" x14ac:dyDescent="0.25">
      <c r="M23" t="str">
        <f ca="1">_xll.SUBNM("smartco:Spread Methods","Default",ROW()-1,"Caption_Default")</f>
        <v/>
      </c>
    </row>
  </sheetData>
  <phoneticPr fontId="0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5"/>
  <sheetViews>
    <sheetView showGridLines="0" showRowColHeaders="0" topLeftCell="A2" workbookViewId="0"/>
  </sheetViews>
  <sheetFormatPr defaultRowHeight="15" x14ac:dyDescent="0.25"/>
  <cols>
    <col min="1" max="1" width="1.28515625" customWidth="1"/>
    <col min="2" max="2" width="15" hidden="1" customWidth="1"/>
    <col min="3" max="3" width="18.28515625" customWidth="1"/>
    <col min="4" max="4" width="8.42578125" customWidth="1"/>
    <col min="5" max="7" width="17.140625" customWidth="1"/>
  </cols>
  <sheetData>
    <row r="1" spans="1:16" hidden="1" x14ac:dyDescent="0.25">
      <c r="C1" t="s">
        <v>18</v>
      </c>
      <c r="E1" t="str">
        <f ca="1">_xll.VIEW("region06:Revenue",$C$5,$F$5,$D$5,"!",$G$5,$H$5,"!")</f>
        <v>region06:Revenue</v>
      </c>
    </row>
    <row r="2" spans="1:16" ht="21" customHeight="1" x14ac:dyDescent="0.25">
      <c r="A2" s="39"/>
      <c r="B2" s="39"/>
      <c r="C2" s="119"/>
      <c r="D2" s="120"/>
      <c r="E2" s="121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16" ht="4.5" customHeight="1" x14ac:dyDescent="0.25"/>
    <row r="4" spans="1:16" x14ac:dyDescent="0.25">
      <c r="C4" s="70" t="s">
        <v>7</v>
      </c>
      <c r="D4" s="124" t="s">
        <v>32</v>
      </c>
      <c r="E4" s="123"/>
      <c r="F4" s="71" t="s">
        <v>0</v>
      </c>
      <c r="G4" s="71" t="s">
        <v>1</v>
      </c>
      <c r="H4" s="124" t="s">
        <v>2</v>
      </c>
      <c r="I4" s="122"/>
    </row>
    <row r="5" spans="1:16" x14ac:dyDescent="0.25">
      <c r="C5" s="75" t="str">
        <f ca="1">_xll.SUBNM("region06:organization","Workflow","Total Company","Caption_Default")</f>
        <v>Total Company</v>
      </c>
      <c r="D5" s="129" t="str">
        <f ca="1">_xll.SUBNM("region06:product","New",1,"Caption_Default")</f>
        <v>4G 16Gb</v>
      </c>
      <c r="E5" s="129"/>
      <c r="F5" s="75" t="str">
        <f ca="1">_xll.SUBNM("region06:Channel","Default","Channel Total","Caption_Default")</f>
        <v>Channel Total</v>
      </c>
      <c r="G5" s="75" t="str">
        <f ca="1">_xll.SUBNM("region06:Year","Default","Y2","Caption_Default")</f>
        <v>2015</v>
      </c>
      <c r="H5" s="129" t="str">
        <f ca="1">_xll.SUBNM("region06:Version","Current",_xll.DBR("region06:Calendar","Current Version","String"),"Caption_Default")</f>
        <v>Budget</v>
      </c>
      <c r="I5" s="129"/>
    </row>
    <row r="6" spans="1:16" ht="5.25" customHeight="1" x14ac:dyDescent="0.25"/>
    <row r="7" spans="1:16" hidden="1" x14ac:dyDescent="0.25">
      <c r="E7" t="s">
        <v>50</v>
      </c>
      <c r="F7" s="19" t="s">
        <v>51</v>
      </c>
      <c r="G7" s="19" t="s">
        <v>52</v>
      </c>
      <c r="H7" s="19" t="s">
        <v>53</v>
      </c>
    </row>
    <row r="8" spans="1:16" ht="15.75" thickBot="1" x14ac:dyDescent="0.3">
      <c r="C8" s="77"/>
      <c r="D8" s="77"/>
      <c r="E8" s="100" t="str">
        <f ca="1">_xll.DBRA("region06:Month",E7,"caption_default")</f>
        <v>Q1</v>
      </c>
      <c r="F8" s="100" t="str">
        <f ca="1">_xll.DBRA("region06:Month",F7,"caption_default")</f>
        <v>Q2</v>
      </c>
      <c r="G8" s="100" t="str">
        <f ca="1">_xll.DBRA("region06:Month",G7,"caption_default")</f>
        <v>Q3</v>
      </c>
      <c r="H8" s="118" t="str">
        <f ca="1">_xll.DBRA("region06:Month",H7,"caption_default")</f>
        <v>Q4</v>
      </c>
      <c r="I8" s="135"/>
    </row>
    <row r="9" spans="1:16" ht="15.75" thickTop="1" x14ac:dyDescent="0.25">
      <c r="B9" s="19" t="s">
        <v>43</v>
      </c>
      <c r="C9" s="40" t="str">
        <f ca="1">_xll.DBRA("region06:Revenue",$B9,"Caption_Default")</f>
        <v>Unit Net Sales Price</v>
      </c>
      <c r="D9" s="38"/>
      <c r="E9" s="81">
        <f ca="1">_xll.DBRW($E$1,$C$5,$F$5,$D$5,E$8,$G$5,$H$5,$C9)</f>
        <v>474.47949096372372</v>
      </c>
      <c r="F9" s="81">
        <f ca="1">_xll.DBRW($E$1,$C$5,$F$5,$D$5,F$8,$G$5,$H$5,$C9)</f>
        <v>471.92697825743056</v>
      </c>
      <c r="G9" s="81">
        <f ca="1">_xll.DBRW($E$1,$C$5,$F$5,$D$5,G$8,$G$5,$H$5,$C9)</f>
        <v>477.26867129363819</v>
      </c>
      <c r="H9" s="144">
        <f ca="1">_xll.DBRW($E$1,$C$5,$F$5,$D$5,H$8,$G$5,$H$5,$C9)</f>
        <v>473.70529352103478</v>
      </c>
      <c r="I9" s="145"/>
    </row>
    <row r="10" spans="1:16" x14ac:dyDescent="0.25">
      <c r="B10" t="s">
        <v>40</v>
      </c>
      <c r="C10" s="40" t="str">
        <f ca="1">_xll.DBRA("region06:Revenue",$B10,"Caption_Default")</f>
        <v>Volume - Units</v>
      </c>
      <c r="D10" s="38"/>
      <c r="E10" s="82">
        <f ca="1">_xll.DBRW($E$1,$C$5,$F$5,$D$5,E$8,$G$5,$H$5,$C10)</f>
        <v>7101.3419482567224</v>
      </c>
      <c r="F10" s="82">
        <f ca="1">_xll.DBRW($E$1,$C$5,$F$5,$D$5,F$8,$G$5,$H$5,$C10)</f>
        <v>7668.6220788740948</v>
      </c>
      <c r="G10" s="82">
        <f ca="1">_xll.DBRW($E$1,$C$5,$F$5,$D$5,G$8,$G$5,$H$5,$C10)</f>
        <v>11060.089748731967</v>
      </c>
      <c r="H10" s="146">
        <f ca="1">_xll.DBRW($E$1,$C$5,$F$5,$D$5,H$8,$G$5,$H$5,$C10)</f>
        <v>11428.41782155058</v>
      </c>
      <c r="I10" s="147" t="str">
        <f ca="1">_xll.DBRW($E$1,$C$5,$F$5,$D$5,I$8,$G$5,$H$5,$C10)</f>
        <v/>
      </c>
    </row>
    <row r="11" spans="1:16" x14ac:dyDescent="0.25">
      <c r="B11" t="s">
        <v>41</v>
      </c>
      <c r="C11" s="40" t="str">
        <f ca="1">_xll.DBRA("region06:Revenue",$B11,"Caption_Default")</f>
        <v>Gross Revenue</v>
      </c>
      <c r="D11" s="38"/>
      <c r="E11" s="82">
        <f ca="1">_xll.DBRW($E$1,$C$5,$F$5,$D$5,E$8,$G$5,$H$5,$C11)</f>
        <v>3369441.1127681877</v>
      </c>
      <c r="F11" s="82">
        <f ca="1">_xll.DBRW($E$1,$C$5,$F$5,$D$5,F$8,$G$5,$H$5,$C11)</f>
        <v>3619029.6450812668</v>
      </c>
      <c r="G11" s="82">
        <f ca="1">_xll.DBRW($E$1,$C$5,$F$5,$D$5,G$8,$G$5,$H$5,$C11)</f>
        <v>5278634.3387656948</v>
      </c>
      <c r="H11" s="146">
        <f ca="1">_xll.DBRW($E$1,$C$5,$F$5,$D$5,H$8,$G$5,$H$5,$C11)</f>
        <v>5413702.0186386425</v>
      </c>
      <c r="I11" s="147" t="str">
        <f ca="1">_xll.DBRW($E$1,$C$5,$F$5,$D$5,I$8,$G$5,$H$5,$C11)</f>
        <v/>
      </c>
    </row>
    <row r="12" spans="1:16" x14ac:dyDescent="0.25">
      <c r="B12" t="s">
        <v>44</v>
      </c>
      <c r="C12" s="40" t="str">
        <f ca="1">_xll.DBRA("region06:Revenue",$B12,"Caption_Default")</f>
        <v>Unit Direct Cost</v>
      </c>
      <c r="D12" s="38"/>
      <c r="E12" s="81">
        <f ca="1">_xll.DBRW($E$1,$C$5,$F$5,$D$5,E$8,$G$5,$H$5,$C12)</f>
        <v>242.23823082188156</v>
      </c>
      <c r="F12" s="81">
        <f ca="1">_xll.DBRW($E$1,$C$5,$F$5,$D$5,F$8,$G$5,$H$5,$C12)</f>
        <v>233.82318511976209</v>
      </c>
      <c r="G12" s="81">
        <f ca="1">_xll.DBRW($E$1,$C$5,$F$5,$D$5,G$8,$G$5,$H$5,$C12)</f>
        <v>204.63465999259961</v>
      </c>
      <c r="H12" s="144">
        <f ca="1">_xll.DBRW($E$1,$C$5,$F$5,$D$5,H$8,$G$5,$H$5,$C12)</f>
        <v>204.06678295103401</v>
      </c>
      <c r="I12" s="145" t="str">
        <f ca="1">_xll.DBRW($E$1,$C$5,$F$5,$D$5,I$8,$G$5,$H$5,$C12)</f>
        <v/>
      </c>
    </row>
    <row r="13" spans="1:16" x14ac:dyDescent="0.25">
      <c r="B13" t="s">
        <v>45</v>
      </c>
      <c r="C13" s="40" t="str">
        <f ca="1">_xll.DBRA("region06:Revenue",$B13,"Caption_Default")</f>
        <v>Total Cost of Goods Sold</v>
      </c>
      <c r="D13" s="38"/>
      <c r="E13" s="82">
        <f ca="1">_xll.DBRW($E$1,$C$5,$F$5,$D$5,E$8,$G$5,$H$5,$C13)</f>
        <v>1720216.5100069221</v>
      </c>
      <c r="F13" s="82">
        <f ca="1">_xll.DBRW($E$1,$C$5,$F$5,$D$5,F$8,$G$5,$H$5,$C13)</f>
        <v>1793101.6399620723</v>
      </c>
      <c r="G13" s="82">
        <f ca="1">_xll.DBRW($E$1,$C$5,$F$5,$D$5,G$8,$G$5,$H$5,$C13)</f>
        <v>2263277.7052194024</v>
      </c>
      <c r="H13" s="146">
        <f ca="1">_xll.DBRW($E$1,$C$5,$F$5,$D$5,H$8,$G$5,$H$5,$C13)</f>
        <v>2332160.4590640911</v>
      </c>
      <c r="I13" s="147" t="str">
        <f ca="1">_xll.DBRW($E$1,$C$5,$F$5,$D$5,I$8,$G$5,$H$5,$C13)</f>
        <v/>
      </c>
    </row>
    <row r="14" spans="1:16" x14ac:dyDescent="0.25">
      <c r="B14" t="s">
        <v>46</v>
      </c>
      <c r="C14" s="40" t="str">
        <f ca="1">_xll.DBRA("region06:Revenue",$B14,"Caption_Default")</f>
        <v>Gross Margin</v>
      </c>
      <c r="D14" s="38"/>
      <c r="E14" s="82">
        <f ca="1">_xll.DBRW($E$1,$C$5,$F$5,$D$5,E$8,$G$5,$H$5,$C14)</f>
        <v>1649224.6027612656</v>
      </c>
      <c r="F14" s="82">
        <f ca="1">_xll.DBRW($E$1,$C$5,$F$5,$D$5,F$8,$G$5,$H$5,$C14)</f>
        <v>1825928.0051191954</v>
      </c>
      <c r="G14" s="82">
        <f ca="1">_xll.DBRW($E$1,$C$5,$F$5,$D$5,G$8,$G$5,$H$5,$C14)</f>
        <v>3015356.6335462928</v>
      </c>
      <c r="H14" s="146">
        <f ca="1">_xll.DBRW($E$1,$C$5,$F$5,$D$5,H$8,$G$5,$H$5,$C14)</f>
        <v>3081541.5595745514</v>
      </c>
      <c r="I14" s="147" t="str">
        <f ca="1">_xll.DBRW($E$1,$C$5,$F$5,$D$5,I$8,$G$5,$H$5,$C14)</f>
        <v/>
      </c>
    </row>
    <row r="15" spans="1:16" x14ac:dyDescent="0.25">
      <c r="B15" t="s">
        <v>47</v>
      </c>
      <c r="C15" s="40" t="str">
        <f ca="1">_xll.DBRA("region06:Revenue",$B15,"Caption_Default")</f>
        <v>Gross Margin %</v>
      </c>
      <c r="D15" s="38"/>
      <c r="E15" s="83">
        <f ca="1">_xll.DBRW($E$1,$C$5,$F$5,$D$5,E$8,$G$5,$H$5,$C15)</f>
        <v>48.946532898636526</v>
      </c>
      <c r="F15" s="83">
        <f ca="1">_xll.DBRW($E$1,$C$5,$F$5,$D$5,F$8,$G$5,$H$5,$C15)</f>
        <v>50.453524402621838</v>
      </c>
      <c r="G15" s="83">
        <f ca="1">_xll.DBRW($E$1,$C$5,$F$5,$D$5,G$8,$G$5,$H$5,$C15)</f>
        <v>57.123802105439545</v>
      </c>
      <c r="H15" s="142">
        <f ca="1">_xll.DBRW($E$1,$C$5,$F$5,$D$5,H$8,$G$5,$H$5,$C15)</f>
        <v>56.921152087152585</v>
      </c>
      <c r="I15" s="143" t="str">
        <f ca="1">_xll.DBRW($E$1,$C$5,$F$5,$D$5,I$8,$G$5,$H$5,$C15)</f>
        <v/>
      </c>
    </row>
  </sheetData>
  <mergeCells count="13">
    <mergeCell ref="H15:I15"/>
    <mergeCell ref="C2:E2"/>
    <mergeCell ref="H9:I9"/>
    <mergeCell ref="H10:I10"/>
    <mergeCell ref="H11:I11"/>
    <mergeCell ref="H12:I12"/>
    <mergeCell ref="H13:I13"/>
    <mergeCell ref="H14:I14"/>
    <mergeCell ref="D4:E4"/>
    <mergeCell ref="H4:I4"/>
    <mergeCell ref="D5:E5"/>
    <mergeCell ref="H5:I5"/>
    <mergeCell ref="H8:I8"/>
  </mergeCells>
  <pageMargins left="0.7" right="0.7" top="0.75" bottom="0.75" header="0.3" footer="0.3"/>
  <pageSetup paperSize="9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S20"/>
  <sheetViews>
    <sheetView showGridLines="0" showRowColHeaders="0" topLeftCell="A2" workbookViewId="0"/>
  </sheetViews>
  <sheetFormatPr defaultRowHeight="15" x14ac:dyDescent="0.25"/>
  <cols>
    <col min="1" max="1" width="1.42578125" customWidth="1"/>
    <col min="2" max="3" width="18.7109375" hidden="1" customWidth="1"/>
    <col min="4" max="4" width="20.140625" customWidth="1"/>
    <col min="5" max="16" width="8" bestFit="1" customWidth="1"/>
  </cols>
  <sheetData>
    <row r="1" spans="1:19" hidden="1" x14ac:dyDescent="0.25">
      <c r="B1" t="s">
        <v>18</v>
      </c>
      <c r="D1" t="str">
        <f ca="1">_xll.VIEW("region06:Revenue Assumptions",$D$5,"!","!",$F$5,$H$5,"!")</f>
        <v>region06:Revenue Assumptions</v>
      </c>
    </row>
    <row r="2" spans="1:19" ht="21" customHeight="1" x14ac:dyDescent="0.25">
      <c r="A2" s="11"/>
      <c r="B2" s="14"/>
      <c r="C2" s="14"/>
      <c r="D2" s="119"/>
      <c r="E2" s="148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1"/>
      <c r="R2" s="1"/>
      <c r="S2" s="1"/>
    </row>
    <row r="3" spans="1:19" s="17" customFormat="1" ht="6.6" customHeight="1" x14ac:dyDescent="0.25">
      <c r="A3" s="11"/>
      <c r="B3" s="14"/>
      <c r="C3" s="14"/>
      <c r="D3" s="15"/>
      <c r="E3" s="14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1"/>
      <c r="R3" s="11"/>
      <c r="S3" s="11"/>
    </row>
    <row r="4" spans="1:19" ht="15" customHeight="1" x14ac:dyDescent="0.25">
      <c r="D4" s="151" t="s">
        <v>32</v>
      </c>
      <c r="E4" s="149"/>
      <c r="F4" s="149" t="s">
        <v>1</v>
      </c>
      <c r="G4" s="149"/>
      <c r="H4" s="149" t="s">
        <v>2</v>
      </c>
      <c r="I4" s="150"/>
      <c r="J4" s="8"/>
      <c r="K4" s="8"/>
      <c r="L4" s="8"/>
      <c r="M4" s="8"/>
      <c r="N4" s="8"/>
      <c r="O4" s="8"/>
      <c r="P4" s="8"/>
    </row>
    <row r="5" spans="1:19" ht="15" customHeight="1" x14ac:dyDescent="0.25">
      <c r="D5" s="129" t="str">
        <f ca="1">_xll.SUBNM("region06:product","New",1,"Caption_Default")</f>
        <v>4G 16Gb</v>
      </c>
      <c r="E5" s="129"/>
      <c r="F5" s="129" t="str">
        <f ca="1">_xll.SUBNM("region06:Year","Default","Y2","Caption_Default")</f>
        <v>2015</v>
      </c>
      <c r="G5" s="129"/>
      <c r="H5" s="129" t="str">
        <f ca="1">_xll.SUBNM("region06:Version","Current",_xll.DBR("region06:Calendar","Current Version","String"),"Caption_Default")</f>
        <v>Budget</v>
      </c>
      <c r="I5" s="129"/>
      <c r="J5" s="54"/>
      <c r="K5" s="8"/>
      <c r="L5" s="8"/>
      <c r="M5" s="8"/>
      <c r="N5" s="8"/>
      <c r="O5" s="8"/>
      <c r="P5" s="8"/>
    </row>
    <row r="6" spans="1:19" ht="10.5" customHeight="1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9" ht="15.75" thickBot="1" x14ac:dyDescent="0.3">
      <c r="B7" s="8"/>
      <c r="C7" s="8"/>
      <c r="D7" s="74" t="str">
        <f ca="1">_xll.DBRA("region06:channel",B8,"caption_default")</f>
        <v>Retail</v>
      </c>
      <c r="E7" s="74" t="s">
        <v>19</v>
      </c>
      <c r="F7" s="74" t="s">
        <v>20</v>
      </c>
      <c r="G7" s="74" t="s">
        <v>21</v>
      </c>
      <c r="H7" s="74" t="s">
        <v>22</v>
      </c>
      <c r="I7" s="74" t="s">
        <v>23</v>
      </c>
      <c r="J7" s="74" t="s">
        <v>24</v>
      </c>
      <c r="K7" s="74" t="s">
        <v>25</v>
      </c>
      <c r="L7" s="74" t="s">
        <v>26</v>
      </c>
      <c r="M7" s="74" t="s">
        <v>27</v>
      </c>
      <c r="N7" s="74" t="s">
        <v>28</v>
      </c>
      <c r="O7" s="74" t="s">
        <v>29</v>
      </c>
      <c r="P7" s="74" t="s">
        <v>30</v>
      </c>
    </row>
    <row r="8" spans="1:19" ht="15" customHeight="1" thickTop="1" x14ac:dyDescent="0.25">
      <c r="B8" s="20" t="s">
        <v>76</v>
      </c>
      <c r="C8" s="42" t="s">
        <v>48</v>
      </c>
      <c r="D8" s="108" t="str">
        <f ca="1">_xll.DBRA("region06:RevenueAsmpt",$C8,"Caption_Default")</f>
        <v>Initiative Discount</v>
      </c>
      <c r="E8" s="85">
        <f ca="1">_xll.DBRW($D$1,$D$5,$B$8,E$7,$F$5,$H$5,$D8)</f>
        <v>0.15</v>
      </c>
      <c r="F8" s="85">
        <f ca="1">_xll.DBRW($D$1,$D$5,$B$8,F$7,$F$5,$H$5,$D8)</f>
        <v>0.15</v>
      </c>
      <c r="G8" s="85">
        <f ca="1">_xll.DBRW($D$1,$D$5,$B$8,G$7,$F$5,$H$5,$D8)</f>
        <v>0.15</v>
      </c>
      <c r="H8" s="85">
        <f ca="1">_xll.DBRW($D$1,$D$5,$B$8,H$7,$F$5,$H$5,$D8)</f>
        <v>0.15</v>
      </c>
      <c r="I8" s="85">
        <f ca="1">_xll.DBRW($D$1,$D$5,$B$8,I$7,$F$5,$H$5,$D8)</f>
        <v>0.15</v>
      </c>
      <c r="J8" s="85">
        <f ca="1">_xll.DBRW($D$1,$D$5,$B$8,J$7,$F$5,$H$5,$D8)</f>
        <v>0.15</v>
      </c>
      <c r="K8" s="85">
        <f ca="1">_xll.DBRW($D$1,$D$5,$B$8,K$7,$F$5,$H$5,$D8)</f>
        <v>0.15</v>
      </c>
      <c r="L8" s="85">
        <f ca="1">_xll.DBRW($D$1,$D$5,$B$8,L$7,$F$5,$H$5,$D8)</f>
        <v>0.15</v>
      </c>
      <c r="M8" s="85">
        <f ca="1">_xll.DBRW($D$1,$D$5,$B$8,M$7,$F$5,$H$5,$D8)</f>
        <v>0.15</v>
      </c>
      <c r="N8" s="85">
        <f ca="1">_xll.DBRW($D$1,$D$5,$B$8,N$7,$F$5,$H$5,$D8)</f>
        <v>0.15</v>
      </c>
      <c r="O8" s="85">
        <f ca="1">_xll.DBRW($D$1,$D$5,$B$8,O$7,$F$5,$H$5,$D8)</f>
        <v>0.15</v>
      </c>
      <c r="P8" s="85">
        <f ca="1">_xll.DBRW($D$1,$D$5,$B$8,P$7,$F$5,$H$5,$D8)</f>
        <v>0.15</v>
      </c>
    </row>
    <row r="9" spans="1:19" ht="15" customHeight="1" x14ac:dyDescent="0.25">
      <c r="B9" s="20" t="s">
        <v>76</v>
      </c>
      <c r="C9" s="42" t="s">
        <v>43</v>
      </c>
      <c r="D9" s="108" t="str">
        <f ca="1">_xll.DBRA("region06:RevenueAsmpt",$C9,"Caption_Default")</f>
        <v>Unit Price</v>
      </c>
      <c r="E9" s="86">
        <f ca="1">_xll.DBRW($D$1,$D$5,$B$8,E$7,$F$5,$H$5,$D9)</f>
        <v>500</v>
      </c>
      <c r="F9" s="86">
        <f ca="1">_xll.DBRW($D$1,$D$5,$B$8,F$7,$F$5,$H$5,$D9)</f>
        <v>500</v>
      </c>
      <c r="G9" s="86">
        <f ca="1">_xll.DBRW($D$1,$D$5,$B$8,G$7,$F$5,$H$5,$D9)</f>
        <v>500</v>
      </c>
      <c r="H9" s="86">
        <f ca="1">_xll.DBRW($D$1,$D$5,$B$8,H$7,$F$5,$H$5,$D9)</f>
        <v>500</v>
      </c>
      <c r="I9" s="86">
        <f ca="1">_xll.DBRW($D$1,$D$5,$B$8,I$7,$F$5,$H$5,$D9)</f>
        <v>500</v>
      </c>
      <c r="J9" s="86">
        <f ca="1">_xll.DBRW($D$1,$D$5,$B$8,J$7,$F$5,$H$5,$D9)</f>
        <v>500</v>
      </c>
      <c r="K9" s="86">
        <f ca="1">_xll.DBRW($D$1,$D$5,$B$8,K$7,$F$5,$H$5,$D9)</f>
        <v>500</v>
      </c>
      <c r="L9" s="86">
        <f ca="1">_xll.DBRW($D$1,$D$5,$B$8,L$7,$F$5,$H$5,$D9)</f>
        <v>500</v>
      </c>
      <c r="M9" s="86">
        <f ca="1">_xll.DBRW($D$1,$D$5,$B$8,M$7,$F$5,$H$5,$D9)</f>
        <v>500</v>
      </c>
      <c r="N9" s="86">
        <f ca="1">_xll.DBRW($D$1,$D$5,$B$8,N$7,$F$5,$H$5,$D9)</f>
        <v>500</v>
      </c>
      <c r="O9" s="86">
        <f ca="1">_xll.DBRW($D$1,$D$5,$B$8,O$7,$F$5,$H$5,$D9)</f>
        <v>500</v>
      </c>
      <c r="P9" s="86">
        <f ca="1">_xll.DBRW($D$1,$D$5,$B$8,P$7,$F$5,$H$5,$D9)</f>
        <v>500</v>
      </c>
    </row>
    <row r="10" spans="1:19" ht="15" customHeight="1" x14ac:dyDescent="0.25">
      <c r="B10" s="20" t="s">
        <v>76</v>
      </c>
      <c r="C10" s="42" t="s">
        <v>44</v>
      </c>
      <c r="D10" s="108" t="str">
        <f ca="1">_xll.DBRA("region06:RevenueAsmpt",$C10,"Caption_Default")</f>
        <v>Unit Cost</v>
      </c>
      <c r="E10" s="86">
        <f ca="1">_xll.DBRW($D$1,$D$5,$B$8,E$7,$F$5,$H$5,$D10)</f>
        <v>421.18400000000003</v>
      </c>
      <c r="F10" s="86">
        <f ca="1">_xll.DBRW($D$1,$D$5,$B$8,F$7,$F$5,$H$5,$D10)</f>
        <v>421.18400000000003</v>
      </c>
      <c r="G10" s="86">
        <f ca="1">_xll.DBRW($D$1,$D$5,$B$8,G$7,$F$5,$H$5,$D10)</f>
        <v>421.18400000000003</v>
      </c>
      <c r="H10" s="86">
        <f ca="1">_xll.DBRW($D$1,$D$5,$B$8,H$7,$F$5,$H$5,$D10)</f>
        <v>421.18400000000003</v>
      </c>
      <c r="I10" s="86">
        <f ca="1">_xll.DBRW($D$1,$D$5,$B$8,I$7,$F$5,$H$5,$D10)</f>
        <v>421.18400000000003</v>
      </c>
      <c r="J10" s="86">
        <f ca="1">_xll.DBRW($D$1,$D$5,$B$8,J$7,$F$5,$H$5,$D10)</f>
        <v>421.18400000000003</v>
      </c>
      <c r="K10" s="86">
        <f ca="1">_xll.DBRW($D$1,$D$5,$B$8,K$7,$F$5,$H$5,$D10)</f>
        <v>421.18400000000003</v>
      </c>
      <c r="L10" s="86">
        <f ca="1">_xll.DBRW($D$1,$D$5,$B$8,L$7,$F$5,$H$5,$D10)</f>
        <v>421.18400000000003</v>
      </c>
      <c r="M10" s="86">
        <f ca="1">_xll.DBRW($D$1,$D$5,$B$8,M$7,$F$5,$H$5,$D10)</f>
        <v>421.18400000000003</v>
      </c>
      <c r="N10" s="86">
        <f ca="1">_xll.DBRW($D$1,$D$5,$B$8,N$7,$F$5,$H$5,$D10)</f>
        <v>421.18400000000003</v>
      </c>
      <c r="O10" s="86">
        <f ca="1">_xll.DBRW($D$1,$D$5,$B$8,O$7,$F$5,$H$5,$D10)</f>
        <v>421.18400000000003</v>
      </c>
      <c r="P10" s="86">
        <f ca="1">_xll.DBRW($D$1,$D$5,$B$8,P$7,$F$5,$H$5,$D10)</f>
        <v>421.18400000000003</v>
      </c>
    </row>
    <row r="11" spans="1:19" ht="15" customHeight="1" x14ac:dyDescent="0.25">
      <c r="B11" s="12"/>
      <c r="C11" s="12"/>
      <c r="D11" s="12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1:19" ht="15" customHeight="1" thickBot="1" x14ac:dyDescent="0.3">
      <c r="B12" s="12"/>
      <c r="C12" s="12"/>
      <c r="D12" s="100" t="str">
        <f ca="1">_xll.DBRA("region06:channel",B13,"caption_default")</f>
        <v>Internet</v>
      </c>
      <c r="E12" s="100" t="s">
        <v>19</v>
      </c>
      <c r="F12" s="100" t="s">
        <v>20</v>
      </c>
      <c r="G12" s="100" t="s">
        <v>21</v>
      </c>
      <c r="H12" s="100" t="s">
        <v>22</v>
      </c>
      <c r="I12" s="100" t="s">
        <v>23</v>
      </c>
      <c r="J12" s="100" t="s">
        <v>24</v>
      </c>
      <c r="K12" s="100" t="s">
        <v>25</v>
      </c>
      <c r="L12" s="100" t="s">
        <v>26</v>
      </c>
      <c r="M12" s="100" t="s">
        <v>27</v>
      </c>
      <c r="N12" s="100" t="s">
        <v>28</v>
      </c>
      <c r="O12" s="100" t="s">
        <v>29</v>
      </c>
      <c r="P12" s="100" t="s">
        <v>30</v>
      </c>
    </row>
    <row r="13" spans="1:19" ht="15" customHeight="1" thickTop="1" x14ac:dyDescent="0.25">
      <c r="B13" s="20" t="s">
        <v>77</v>
      </c>
      <c r="C13" s="42" t="s">
        <v>48</v>
      </c>
      <c r="D13" s="108" t="str">
        <f ca="1">_xll.DBRA("region06:RevenueAsmpt",$C13,"Caption_Default")</f>
        <v>Initiative Discount</v>
      </c>
      <c r="E13" s="85">
        <f ca="1">_xll.DBRW($D$1,$D$5,$B$13,E$7,$F$5,$H$5,$D13)</f>
        <v>9.8834903599999996E-2</v>
      </c>
      <c r="F13" s="85">
        <f ca="1">_xll.DBRW($D$1,$D$5,$B$13,F$7,$F$5,$H$5,$D13)</f>
        <v>9.8834903599999996E-2</v>
      </c>
      <c r="G13" s="85">
        <f ca="1">_xll.DBRW($D$1,$D$5,$B$13,G$7,$F$5,$H$5,$D13)</f>
        <v>9.8834903599999996E-2</v>
      </c>
      <c r="H13" s="85">
        <f ca="1">_xll.DBRW($D$1,$D$5,$B$13,H$7,$F$5,$H$5,$D13)</f>
        <v>9.8834903599999996E-2</v>
      </c>
      <c r="I13" s="85">
        <f ca="1">_xll.DBRW($D$1,$D$5,$B$13,I$7,$F$5,$H$5,$D13)</f>
        <v>9.8834903599999996E-2</v>
      </c>
      <c r="J13" s="85">
        <f ca="1">_xll.DBRW($D$1,$D$5,$B$13,J$7,$F$5,$H$5,$D13)</f>
        <v>9.8834903599999996E-2</v>
      </c>
      <c r="K13" s="85">
        <f ca="1">_xll.DBRW($D$1,$D$5,$B$13,K$7,$F$5,$H$5,$D13)</f>
        <v>9.8834903599999996E-2</v>
      </c>
      <c r="L13" s="85">
        <f ca="1">_xll.DBRW($D$1,$D$5,$B$13,L$7,$F$5,$H$5,$D13)</f>
        <v>9.8834903599999996E-2</v>
      </c>
      <c r="M13" s="85">
        <f ca="1">_xll.DBRW($D$1,$D$5,$B$13,M$7,$F$5,$H$5,$D13)</f>
        <v>9.8834903599999996E-2</v>
      </c>
      <c r="N13" s="85">
        <f ca="1">_xll.DBRW($D$1,$D$5,$B$13,N$7,$F$5,$H$5,$D13)</f>
        <v>9.8834903599999996E-2</v>
      </c>
      <c r="O13" s="85">
        <f ca="1">_xll.DBRW($D$1,$D$5,$B$13,O$7,$F$5,$H$5,$D13)</f>
        <v>9.8834903599999996E-2</v>
      </c>
      <c r="P13" s="85">
        <f ca="1">_xll.DBRW($D$1,$D$5,$B$13,P$7,$F$5,$H$5,$D13)</f>
        <v>9.8834903599999996E-2</v>
      </c>
    </row>
    <row r="14" spans="1:19" ht="15" customHeight="1" x14ac:dyDescent="0.25">
      <c r="B14" s="20" t="s">
        <v>77</v>
      </c>
      <c r="C14" s="42" t="s">
        <v>43</v>
      </c>
      <c r="D14" s="108" t="str">
        <f ca="1">_xll.DBRA("region06:RevenueAsmpt",$C14,"Caption_Default")</f>
        <v>Unit Price</v>
      </c>
      <c r="E14" s="86">
        <f ca="1">_xll.DBRW($D$1,$D$5,$B$13,E$7,$F$5,$H$5,$D14)</f>
        <v>450</v>
      </c>
      <c r="F14" s="86">
        <f ca="1">_xll.DBRW($D$1,$D$5,$B$13,F$7,$F$5,$H$5,$D14)</f>
        <v>450</v>
      </c>
      <c r="G14" s="86">
        <f ca="1">_xll.DBRW($D$1,$D$5,$B$13,G$7,$F$5,$H$5,$D14)</f>
        <v>450</v>
      </c>
      <c r="H14" s="86">
        <f ca="1">_xll.DBRW($D$1,$D$5,$B$13,H$7,$F$5,$H$5,$D14)</f>
        <v>450</v>
      </c>
      <c r="I14" s="86">
        <f ca="1">_xll.DBRW($D$1,$D$5,$B$13,I$7,$F$5,$H$5,$D14)</f>
        <v>450</v>
      </c>
      <c r="J14" s="86">
        <f ca="1">_xll.DBRW($D$1,$D$5,$B$13,J$7,$F$5,$H$5,$D14)</f>
        <v>450</v>
      </c>
      <c r="K14" s="86">
        <f ca="1">_xll.DBRW($D$1,$D$5,$B$13,K$7,$F$5,$H$5,$D14)</f>
        <v>450</v>
      </c>
      <c r="L14" s="86">
        <f ca="1">_xll.DBRW($D$1,$D$5,$B$13,L$7,$F$5,$H$5,$D14)</f>
        <v>450</v>
      </c>
      <c r="M14" s="86">
        <f ca="1">_xll.DBRW($D$1,$D$5,$B$13,M$7,$F$5,$H$5,$D14)</f>
        <v>450</v>
      </c>
      <c r="N14" s="86">
        <f ca="1">_xll.DBRW($D$1,$D$5,$B$13,N$7,$F$5,$H$5,$D14)</f>
        <v>450</v>
      </c>
      <c r="O14" s="86">
        <f ca="1">_xll.DBRW($D$1,$D$5,$B$13,O$7,$F$5,$H$5,$D14)</f>
        <v>450</v>
      </c>
      <c r="P14" s="86">
        <f ca="1">_xll.DBRW($D$1,$D$5,$B$13,P$7,$F$5,$H$5,$D14)</f>
        <v>450</v>
      </c>
    </row>
    <row r="15" spans="1:19" ht="15" customHeight="1" x14ac:dyDescent="0.25">
      <c r="B15" s="20" t="s">
        <v>77</v>
      </c>
      <c r="C15" s="42" t="s">
        <v>44</v>
      </c>
      <c r="D15" s="108" t="str">
        <f ca="1">_xll.DBRA("region06:RevenueAsmpt",$C15,"Caption_Default")</f>
        <v>Unit Cost</v>
      </c>
      <c r="E15" s="86">
        <f ca="1">_xll.DBRW($D$1,$D$5,$B$13,E$7,$F$5,$H$5,$D15)</f>
        <v>421.18400000000003</v>
      </c>
      <c r="F15" s="86">
        <f ca="1">_xll.DBRW($D$1,$D$5,$B$13,F$7,$F$5,$H$5,$D15)</f>
        <v>421.18400000000003</v>
      </c>
      <c r="G15" s="86">
        <f ca="1">_xll.DBRW($D$1,$D$5,$B$13,G$7,$F$5,$H$5,$D15)</f>
        <v>421.18400000000003</v>
      </c>
      <c r="H15" s="86">
        <f ca="1">_xll.DBRW($D$1,$D$5,$B$13,H$7,$F$5,$H$5,$D15)</f>
        <v>421.18400000000003</v>
      </c>
      <c r="I15" s="86">
        <f ca="1">_xll.DBRW($D$1,$D$5,$B$13,I$7,$F$5,$H$5,$D15)</f>
        <v>421.18400000000003</v>
      </c>
      <c r="J15" s="86">
        <f ca="1">_xll.DBRW($D$1,$D$5,$B$13,J$7,$F$5,$H$5,$D15)</f>
        <v>421.18400000000003</v>
      </c>
      <c r="K15" s="86">
        <f ca="1">_xll.DBRW($D$1,$D$5,$B$13,K$7,$F$5,$H$5,$D15)</f>
        <v>421.18400000000003</v>
      </c>
      <c r="L15" s="86">
        <f ca="1">_xll.DBRW($D$1,$D$5,$B$13,L$7,$F$5,$H$5,$D15)</f>
        <v>421.18400000000003</v>
      </c>
      <c r="M15" s="86">
        <f ca="1">_xll.DBRW($D$1,$D$5,$B$13,M$7,$F$5,$H$5,$D15)</f>
        <v>421.18400000000003</v>
      </c>
      <c r="N15" s="86">
        <f ca="1">_xll.DBRW($D$1,$D$5,$B$13,N$7,$F$5,$H$5,$D15)</f>
        <v>421.18400000000003</v>
      </c>
      <c r="O15" s="86">
        <f ca="1">_xll.DBRW($D$1,$D$5,$B$13,O$7,$F$5,$H$5,$D15)</f>
        <v>421.18400000000003</v>
      </c>
      <c r="P15" s="86">
        <f ca="1">_xll.DBRW($D$1,$D$5,$B$13,P$7,$F$5,$H$5,$D15)</f>
        <v>421.18400000000003</v>
      </c>
    </row>
    <row r="16" spans="1:19" ht="15" customHeight="1" x14ac:dyDescent="0.25">
      <c r="B16" s="12"/>
      <c r="C16" s="12"/>
      <c r="D16" s="12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2:17" ht="15" customHeight="1" thickBot="1" x14ac:dyDescent="0.3">
      <c r="B17" s="12"/>
      <c r="C17" s="12"/>
      <c r="D17" s="100" t="str">
        <f ca="1">_xll.DBRA("region06:channel",B18,"caption_default")</f>
        <v>Distribution</v>
      </c>
      <c r="E17" s="100" t="s">
        <v>19</v>
      </c>
      <c r="F17" s="100" t="s">
        <v>20</v>
      </c>
      <c r="G17" s="100" t="s">
        <v>21</v>
      </c>
      <c r="H17" s="100" t="s">
        <v>22</v>
      </c>
      <c r="I17" s="100" t="s">
        <v>23</v>
      </c>
      <c r="J17" s="100" t="s">
        <v>24</v>
      </c>
      <c r="K17" s="100" t="s">
        <v>25</v>
      </c>
      <c r="L17" s="100" t="s">
        <v>26</v>
      </c>
      <c r="M17" s="100" t="s">
        <v>27</v>
      </c>
      <c r="N17" s="100" t="s">
        <v>28</v>
      </c>
      <c r="O17" s="100" t="s">
        <v>29</v>
      </c>
      <c r="P17" s="100" t="s">
        <v>30</v>
      </c>
      <c r="Q17" s="1"/>
    </row>
    <row r="18" spans="2:17" ht="15" customHeight="1" thickTop="1" x14ac:dyDescent="0.25">
      <c r="B18" s="20" t="s">
        <v>78</v>
      </c>
      <c r="C18" s="42" t="s">
        <v>48</v>
      </c>
      <c r="D18" s="108" t="str">
        <f ca="1">_xll.DBRA("region06:RevenueAsmpt",$C18,"Caption_Default")</f>
        <v>Initiative Discount</v>
      </c>
      <c r="E18" s="85">
        <f ca="1">_xll.DBRW($D$1,$D$5,$B$18,E$7,$F$5,$H$5,$D18)</f>
        <v>0.13907746430000001</v>
      </c>
      <c r="F18" s="85">
        <f ca="1">_xll.DBRW($D$1,$D$5,$B$18,F$7,$F$5,$H$5,$D18)</f>
        <v>0.13907746430000001</v>
      </c>
      <c r="G18" s="85">
        <f ca="1">_xll.DBRW($D$1,$D$5,$B$18,G$7,$F$5,$H$5,$D18)</f>
        <v>0.13907746430000001</v>
      </c>
      <c r="H18" s="85">
        <f ca="1">_xll.DBRW($D$1,$D$5,$B$18,H$7,$F$5,$H$5,$D18)</f>
        <v>0.13907746430000001</v>
      </c>
      <c r="I18" s="85">
        <f ca="1">_xll.DBRW($D$1,$D$5,$B$18,I$7,$F$5,$H$5,$D18)</f>
        <v>0.13907746430000001</v>
      </c>
      <c r="J18" s="85">
        <f ca="1">_xll.DBRW($D$1,$D$5,$B$18,J$7,$F$5,$H$5,$D18)</f>
        <v>0.13907746430000001</v>
      </c>
      <c r="K18" s="85">
        <f ca="1">_xll.DBRW($D$1,$D$5,$B$18,K$7,$F$5,$H$5,$D18)</f>
        <v>0.13907746430000001</v>
      </c>
      <c r="L18" s="85">
        <f ca="1">_xll.DBRW($D$1,$D$5,$B$18,L$7,$F$5,$H$5,$D18)</f>
        <v>0.13907746430000001</v>
      </c>
      <c r="M18" s="85">
        <f ca="1">_xll.DBRW($D$1,$D$5,$B$18,M$7,$F$5,$H$5,$D18)</f>
        <v>0.13907746430000001</v>
      </c>
      <c r="N18" s="85">
        <f ca="1">_xll.DBRW($D$1,$D$5,$B$18,N$7,$F$5,$H$5,$D18)</f>
        <v>0.13907746430000001</v>
      </c>
      <c r="O18" s="85">
        <f ca="1">_xll.DBRW($D$1,$D$5,$B$18,O$7,$F$5,$H$5,$D18)</f>
        <v>0.13907746430000001</v>
      </c>
      <c r="P18" s="85">
        <f ca="1">_xll.DBRW($D$1,$D$5,$B$18,P$7,$F$5,$H$5,$D18)</f>
        <v>0.13907746430000001</v>
      </c>
    </row>
    <row r="19" spans="2:17" ht="15" customHeight="1" x14ac:dyDescent="0.25">
      <c r="B19" s="20" t="s">
        <v>78</v>
      </c>
      <c r="C19" s="42" t="s">
        <v>43</v>
      </c>
      <c r="D19" s="108" t="str">
        <f ca="1">_xll.DBRA("region06:RevenueAsmpt",$C19,"Caption_Default")</f>
        <v>Unit Price</v>
      </c>
      <c r="E19" s="86">
        <f ca="1">_xll.DBRW($D$1,$D$5,$B$18,E$7,$F$5,$H$5,$D19)</f>
        <v>273</v>
      </c>
      <c r="F19" s="86">
        <f ca="1">_xll.DBRW($D$1,$D$5,$B$18,F$7,$F$5,$H$5,$D19)</f>
        <v>273</v>
      </c>
      <c r="G19" s="86">
        <f ca="1">_xll.DBRW($D$1,$D$5,$B$18,G$7,$F$5,$H$5,$D19)</f>
        <v>273</v>
      </c>
      <c r="H19" s="86">
        <f ca="1">_xll.DBRW($D$1,$D$5,$B$18,H$7,$F$5,$H$5,$D19)</f>
        <v>273</v>
      </c>
      <c r="I19" s="86">
        <f ca="1">_xll.DBRW($D$1,$D$5,$B$18,I$7,$F$5,$H$5,$D19)</f>
        <v>273</v>
      </c>
      <c r="J19" s="86">
        <f ca="1">_xll.DBRW($D$1,$D$5,$B$18,J$7,$F$5,$H$5,$D19)</f>
        <v>273</v>
      </c>
      <c r="K19" s="86">
        <f ca="1">_xll.DBRW($D$1,$D$5,$B$18,K$7,$F$5,$H$5,$D19)</f>
        <v>273</v>
      </c>
      <c r="L19" s="86">
        <f ca="1">_xll.DBRW($D$1,$D$5,$B$18,L$7,$F$5,$H$5,$D19)</f>
        <v>273</v>
      </c>
      <c r="M19" s="86">
        <f ca="1">_xll.DBRW($D$1,$D$5,$B$18,M$7,$F$5,$H$5,$D19)</f>
        <v>273</v>
      </c>
      <c r="N19" s="86">
        <f ca="1">_xll.DBRW($D$1,$D$5,$B$18,N$7,$F$5,$H$5,$D19)</f>
        <v>273</v>
      </c>
      <c r="O19" s="86">
        <f ca="1">_xll.DBRW($D$1,$D$5,$B$18,O$7,$F$5,$H$5,$D19)</f>
        <v>273</v>
      </c>
      <c r="P19" s="86">
        <f ca="1">_xll.DBRW($D$1,$D$5,$B$18,P$7,$F$5,$H$5,$D19)</f>
        <v>273</v>
      </c>
    </row>
    <row r="20" spans="2:17" ht="15" customHeight="1" x14ac:dyDescent="0.25">
      <c r="B20" s="20" t="s">
        <v>78</v>
      </c>
      <c r="C20" s="42" t="s">
        <v>44</v>
      </c>
      <c r="D20" s="108" t="str">
        <f ca="1">_xll.DBRA("region06:RevenueAsmpt",$C20,"Caption_Default")</f>
        <v>Unit Cost</v>
      </c>
      <c r="E20" s="86">
        <f ca="1">_xll.DBRW($D$1,$D$5,$B$18,E$7,$F$5,$H$5,$D20)</f>
        <v>421.18400000000003</v>
      </c>
      <c r="F20" s="86">
        <f ca="1">_xll.DBRW($D$1,$D$5,$B$18,F$7,$F$5,$H$5,$D20)</f>
        <v>421.18400000000003</v>
      </c>
      <c r="G20" s="86">
        <f ca="1">_xll.DBRW($D$1,$D$5,$B$18,G$7,$F$5,$H$5,$D20)</f>
        <v>421.18400000000003</v>
      </c>
      <c r="H20" s="86">
        <f ca="1">_xll.DBRW($D$1,$D$5,$B$18,H$7,$F$5,$H$5,$D20)</f>
        <v>421.18400000000003</v>
      </c>
      <c r="I20" s="86">
        <f ca="1">_xll.DBRW($D$1,$D$5,$B$18,I$7,$F$5,$H$5,$D20)</f>
        <v>421.18400000000003</v>
      </c>
      <c r="J20" s="86">
        <f ca="1">_xll.DBRW($D$1,$D$5,$B$18,J$7,$F$5,$H$5,$D20)</f>
        <v>421.18400000000003</v>
      </c>
      <c r="K20" s="86">
        <f ca="1">_xll.DBRW($D$1,$D$5,$B$18,K$7,$F$5,$H$5,$D20)</f>
        <v>421.18400000000003</v>
      </c>
      <c r="L20" s="86">
        <f ca="1">_xll.DBRW($D$1,$D$5,$B$18,L$7,$F$5,$H$5,$D20)</f>
        <v>421.18400000000003</v>
      </c>
      <c r="M20" s="86">
        <f ca="1">_xll.DBRW($D$1,$D$5,$B$18,M$7,$F$5,$H$5,$D20)</f>
        <v>421.18400000000003</v>
      </c>
      <c r="N20" s="86">
        <f ca="1">_xll.DBRW($D$1,$D$5,$B$18,N$7,$F$5,$H$5,$D20)</f>
        <v>421.18400000000003</v>
      </c>
      <c r="O20" s="86">
        <f ca="1">_xll.DBRW($D$1,$D$5,$B$18,O$7,$F$5,$H$5,$D20)</f>
        <v>421.18400000000003</v>
      </c>
      <c r="P20" s="86">
        <f ca="1">_xll.DBRW($D$1,$D$5,$B$18,P$7,$F$5,$H$5,$D20)</f>
        <v>421.18400000000003</v>
      </c>
    </row>
  </sheetData>
  <mergeCells count="7">
    <mergeCell ref="D2:E2"/>
    <mergeCell ref="H4:I4"/>
    <mergeCell ref="H5:I5"/>
    <mergeCell ref="D4:E4"/>
    <mergeCell ref="D5:E5"/>
    <mergeCell ref="F4:G4"/>
    <mergeCell ref="F5:G5"/>
  </mergeCells>
  <phoneticPr fontId="10" type="noConversion"/>
  <pageMargins left="0.75" right="0.75" top="1" bottom="1" header="0.5" footer="0.5"/>
  <pageSetup paperSize="9" fitToHeight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K24"/>
  <sheetViews>
    <sheetView showGridLines="0" showRowColHeaders="0" topLeftCell="A2" workbookViewId="0"/>
  </sheetViews>
  <sheetFormatPr defaultRowHeight="15" x14ac:dyDescent="0.25"/>
  <cols>
    <col min="1" max="1" width="1.28515625" customWidth="1"/>
    <col min="2" max="2" width="11.28515625" hidden="1" customWidth="1"/>
    <col min="3" max="3" width="23.5703125" customWidth="1"/>
    <col min="4" max="5" width="17.28515625" customWidth="1"/>
    <col min="6" max="7" width="16.85546875" customWidth="1"/>
    <col min="8" max="8" width="15.7109375" customWidth="1"/>
    <col min="9" max="9" width="15.85546875" customWidth="1"/>
  </cols>
  <sheetData>
    <row r="1" spans="1:11" ht="5.25" hidden="1" customHeight="1" x14ac:dyDescent="0.25">
      <c r="C1" t="s">
        <v>18</v>
      </c>
      <c r="D1" t="str">
        <f ca="1">_xll.VIEW("region06:Revenue",$C$5,$D$5,"!","!",$F$5,$G$5,$E$5)</f>
        <v>region06:Revenue</v>
      </c>
    </row>
    <row r="2" spans="1:11" s="17" customFormat="1" ht="21" customHeight="1" x14ac:dyDescent="0.25">
      <c r="A2" s="26"/>
      <c r="B2" s="48"/>
      <c r="C2" s="119"/>
      <c r="D2" s="120"/>
      <c r="E2" s="46"/>
      <c r="F2" s="46"/>
      <c r="G2" s="46"/>
      <c r="H2" s="46"/>
      <c r="I2" s="46"/>
      <c r="J2" s="11"/>
      <c r="K2" s="11"/>
    </row>
    <row r="3" spans="1:11" ht="6.6" customHeight="1" x14ac:dyDescent="0.25"/>
    <row r="4" spans="1:11" x14ac:dyDescent="0.25">
      <c r="C4" s="49" t="s">
        <v>7</v>
      </c>
      <c r="D4" s="50" t="s">
        <v>0</v>
      </c>
      <c r="E4" s="50" t="s">
        <v>33</v>
      </c>
      <c r="F4" s="50" t="s">
        <v>1</v>
      </c>
      <c r="G4" s="51" t="s">
        <v>2</v>
      </c>
    </row>
    <row r="5" spans="1:11" x14ac:dyDescent="0.25">
      <c r="C5" s="87" t="str">
        <f ca="1">_xll.SUBNM("region06:organization","Workflow","Total Company","Caption_Default")</f>
        <v>Total Company</v>
      </c>
      <c r="D5" s="87" t="str">
        <f ca="1">_xll.SUBNM("region06:Channel","Default","Channel Total","Caption_Default")</f>
        <v>Channel Total</v>
      </c>
      <c r="E5" s="87" t="str">
        <f ca="1">_xll.SUBNM("region06:Revenue","Default","Volume - Units","Caption_Default")</f>
        <v>Volume - Units</v>
      </c>
      <c r="F5" s="87" t="str">
        <f ca="1">_xll.SUBNM("region06:Year","Default","Y2","Caption_Default")</f>
        <v>2015</v>
      </c>
      <c r="G5" s="87" t="str">
        <f ca="1">_xll.SUBNM("region06:Version","Current",_xll.DBR("region06:Calendar","Current Version","String"),"Caption_Default")</f>
        <v>Budget</v>
      </c>
    </row>
    <row r="6" spans="1:11" ht="10.5" customHeight="1" x14ac:dyDescent="0.25"/>
    <row r="7" spans="1:11" ht="15.75" thickBot="1" x14ac:dyDescent="0.3">
      <c r="C7" s="74" t="s">
        <v>32</v>
      </c>
      <c r="D7" s="74"/>
      <c r="E7" s="74" t="s">
        <v>1</v>
      </c>
      <c r="F7" s="74" t="s">
        <v>50</v>
      </c>
      <c r="G7" s="74" t="s">
        <v>51</v>
      </c>
      <c r="H7" s="74" t="s">
        <v>52</v>
      </c>
      <c r="I7" s="74" t="s">
        <v>53</v>
      </c>
    </row>
    <row r="8" spans="1:11" ht="15" customHeight="1" thickTop="1" x14ac:dyDescent="0.25">
      <c r="B8" t="s">
        <v>49</v>
      </c>
      <c r="C8" s="95" t="str">
        <f ca="1">_xll.DBRA("region06:product",$B8,"Caption_Default")</f>
        <v>Product Total</v>
      </c>
      <c r="D8" s="96"/>
      <c r="E8" s="97">
        <f ca="1">_xll.DBRW($D$1,$C$5,$D$5,$C8,E$7,$F$5,$G$5,$E$5)</f>
        <v>478948.03816878173</v>
      </c>
      <c r="F8" s="97">
        <f ca="1">_xll.DBRW($D$1,$C$5,$D$5,$C8,F$7,$F$5,$G$5,$E$5)</f>
        <v>113965.13752846938</v>
      </c>
      <c r="G8" s="97">
        <f ca="1">_xll.DBRW($D$1,$C$5,$D$5,$C8,G$7,$F$5,$G$5,$E$5)</f>
        <v>111805.29967829323</v>
      </c>
      <c r="H8" s="97">
        <f ca="1">_xll.DBRW($D$1,$C$5,$D$5,$C8,H$7,$F$5,$G$5,$E$5)</f>
        <v>119593.77668326939</v>
      </c>
      <c r="I8" s="97">
        <f ca="1">_xll.DBRW($D$1,$C$5,$D$5,$C8,I$7,$F$5,$G$5,$E$5)</f>
        <v>133583.82427874979</v>
      </c>
    </row>
    <row r="9" spans="1:11" ht="15" customHeight="1" x14ac:dyDescent="0.25">
      <c r="B9" s="18" t="s">
        <v>54</v>
      </c>
      <c r="C9" s="92" t="str">
        <f ca="1">_xll.DBRA("region06:product",$B9,"Caption_Default")</f>
        <v>Phones</v>
      </c>
      <c r="D9" s="52"/>
      <c r="E9" s="89">
        <f ca="1">_xll.DBRW($D$1,$C$5,$D$5,$C9,E$7,$F$5,$G$5,$E$5)</f>
        <v>359331.17326617852</v>
      </c>
      <c r="F9" s="89">
        <f ca="1">_xll.DBRW($D$1,$C$5,$D$5,$C9,F$7,$F$5,$G$5,$E$5)</f>
        <v>83611.50437586612</v>
      </c>
      <c r="G9" s="89">
        <f ca="1">_xll.DBRW($D$1,$C$5,$D$5,$C9,G$7,$F$5,$G$5,$E$5)</f>
        <v>85063.870678293199</v>
      </c>
      <c r="H9" s="89">
        <f ca="1">_xll.DBRW($D$1,$C$5,$D$5,$C9,H$7,$F$5,$G$5,$E$5)</f>
        <v>90513.258183269369</v>
      </c>
      <c r="I9" s="89">
        <f ca="1">_xll.DBRW($D$1,$C$5,$D$5,$C9,I$7,$F$5,$G$5,$E$5)</f>
        <v>100142.54002874978</v>
      </c>
    </row>
    <row r="10" spans="1:11" ht="15" customHeight="1" x14ac:dyDescent="0.25">
      <c r="B10" s="18" t="s">
        <v>55</v>
      </c>
      <c r="C10" s="93" t="str">
        <f ca="1">_xll.DBRA("region06:product",$B10,"Caption_Default")</f>
        <v>3G Smart Phones</v>
      </c>
      <c r="D10" s="47"/>
      <c r="E10" s="90">
        <f ca="1">_xll.DBRW($D$1,$C$5,$D$5,$C10,E$7,$F$5,$G$5,$E$5)</f>
        <v>264000</v>
      </c>
      <c r="F10" s="88">
        <f ca="1">_xll.DBRW($D$1,$C$5,$D$5,$C10,F$7,$F$5,$G$5,$E$5)</f>
        <v>66000</v>
      </c>
      <c r="G10" s="88">
        <f ca="1">_xll.DBRW($D$1,$C$5,$D$5,$C10,G$7,$F$5,$G$5,$E$5)</f>
        <v>66000.000000000015</v>
      </c>
      <c r="H10" s="88">
        <f ca="1">_xll.DBRW($D$1,$C$5,$D$5,$C10,H$7,$F$5,$G$5,$E$5)</f>
        <v>66000</v>
      </c>
      <c r="I10" s="88">
        <f ca="1">_xll.DBRW($D$1,$C$5,$D$5,$C10,I$7,$F$5,$G$5,$E$5)</f>
        <v>66000</v>
      </c>
    </row>
    <row r="11" spans="1:11" ht="15" customHeight="1" x14ac:dyDescent="0.25">
      <c r="B11" s="18" t="s">
        <v>56</v>
      </c>
      <c r="C11" s="93" t="str">
        <f ca="1">_xll.DBRA("region06:product",$B11,"Caption_Default")</f>
        <v>4G Smart Phones</v>
      </c>
      <c r="D11" s="47"/>
      <c r="E11" s="90">
        <f ca="1">_xll.DBRW($D$1,$C$5,$D$5,$C11,E$7,$F$5,$G$5,$E$5)</f>
        <v>76220.619952749665</v>
      </c>
      <c r="F11" s="88">
        <f ca="1">_xll.DBRW($D$1,$C$5,$D$5,$C11,F$7,$F$5,$G$5,$E$5)</f>
        <v>13030.683318137004</v>
      </c>
      <c r="G11" s="88">
        <f ca="1">_xll.DBRW($D$1,$C$5,$D$5,$C11,G$7,$F$5,$G$5,$E$5)</f>
        <v>14428.007673898195</v>
      </c>
      <c r="H11" s="88">
        <f ca="1">_xll.DBRW($D$1,$C$5,$D$5,$C11,H$7,$F$5,$G$5,$E$5)</f>
        <v>19686.219675741351</v>
      </c>
      <c r="I11" s="88">
        <f ca="1">_xll.DBRW($D$1,$C$5,$D$5,$C11,I$7,$F$5,$G$5,$E$5)</f>
        <v>29075.709284973098</v>
      </c>
    </row>
    <row r="12" spans="1:11" ht="15" customHeight="1" x14ac:dyDescent="0.25">
      <c r="B12" s="18" t="s">
        <v>57</v>
      </c>
      <c r="C12" s="93" t="str">
        <f ca="1">_xll.DBRA("region06:product",$B12,"Caption_Default")</f>
        <v>Phone Only</v>
      </c>
      <c r="D12" s="47"/>
      <c r="E12" s="90">
        <f ca="1">_xll.DBRW($D$1,$C$5,$D$5,$C12,E$7,$F$5,$G$5,$E$5)</f>
        <v>19110.553313428845</v>
      </c>
      <c r="F12" s="88">
        <f ca="1">_xll.DBRW($D$1,$C$5,$D$5,$C12,F$7,$F$5,$G$5,$E$5)</f>
        <v>4580.8210577291184</v>
      </c>
      <c r="G12" s="88">
        <f ca="1">_xll.DBRW($D$1,$C$5,$D$5,$C12,G$7,$F$5,$G$5,$E$5)</f>
        <v>4635.8630043950152</v>
      </c>
      <c r="H12" s="88">
        <f ca="1">_xll.DBRW($D$1,$C$5,$D$5,$C12,H$7,$F$5,$G$5,$E$5)</f>
        <v>4827.0385075280337</v>
      </c>
      <c r="I12" s="88">
        <f ca="1">_xll.DBRW($D$1,$C$5,$D$5,$C12,I$7,$F$5,$G$5,$E$5)</f>
        <v>5066.8307437766753</v>
      </c>
    </row>
    <row r="13" spans="1:11" ht="15" customHeight="1" x14ac:dyDescent="0.25">
      <c r="B13" s="18" t="s">
        <v>58</v>
      </c>
      <c r="C13" s="94" t="str">
        <f ca="1">_xll.DBRA("region06:product",$B13,"Caption_Default")</f>
        <v>PCs</v>
      </c>
      <c r="D13" s="53"/>
      <c r="E13" s="91">
        <f ca="1">_xll.DBRW($D$1,$C$5,$D$5,$C13,E$7,$F$5,$G$5,$E$5)</f>
        <v>58489.215838420103</v>
      </c>
      <c r="F13" s="91">
        <f ca="1">_xll.DBRW($D$1,$C$5,$D$5,$C13,F$7,$F$5,$G$5,$E$5)</f>
        <v>14819.309338420107</v>
      </c>
      <c r="G13" s="91">
        <f ca="1">_xll.DBRW($D$1,$C$5,$D$5,$C13,G$7,$F$5,$G$5,$E$5)</f>
        <v>14076.009750000001</v>
      </c>
      <c r="H13" s="91">
        <f ca="1">_xll.DBRW($D$1,$C$5,$D$5,$C13,H$7,$F$5,$G$5,$E$5)</f>
        <v>14598.37225</v>
      </c>
      <c r="I13" s="91">
        <f ca="1">_xll.DBRW($D$1,$C$5,$D$5,$C13,I$7,$F$5,$G$5,$E$5)</f>
        <v>14995.524500000001</v>
      </c>
    </row>
    <row r="14" spans="1:11" ht="15" customHeight="1" x14ac:dyDescent="0.25">
      <c r="B14" s="18" t="s">
        <v>59</v>
      </c>
      <c r="C14" s="93" t="str">
        <f ca="1">_xll.DBRA("region06:product",$B14,"Caption_Default")</f>
        <v>Desktops</v>
      </c>
      <c r="D14" s="47"/>
      <c r="E14" s="90">
        <f ca="1">_xll.DBRW($D$1,$C$5,$D$5,$C14,E$7,$F$5,$G$5,$E$5)</f>
        <v>10718.766564631958</v>
      </c>
      <c r="F14" s="88">
        <f ca="1">_xll.DBRW($D$1,$C$5,$D$5,$C14,F$7,$F$5,$G$5,$E$5)</f>
        <v>2798.3898146319575</v>
      </c>
      <c r="G14" s="88">
        <f ca="1">_xll.DBRW($D$1,$C$5,$D$5,$C14,G$7,$F$5,$G$5,$E$5)</f>
        <v>2586.9607500000002</v>
      </c>
      <c r="H14" s="88">
        <f ca="1">_xll.DBRW($D$1,$C$5,$D$5,$C14,H$7,$F$5,$G$5,$E$5)</f>
        <v>2672.7607499999999</v>
      </c>
      <c r="I14" s="88">
        <f ca="1">_xll.DBRW($D$1,$C$5,$D$5,$C14,I$7,$F$5,$G$5,$E$5)</f>
        <v>2660.6552500000003</v>
      </c>
    </row>
    <row r="15" spans="1:11" ht="15" customHeight="1" x14ac:dyDescent="0.25">
      <c r="B15" s="18" t="s">
        <v>60</v>
      </c>
      <c r="C15" s="93" t="str">
        <f ca="1">_xll.DBRA("region06:product",$B15,"Caption_Default")</f>
        <v>Laptops</v>
      </c>
      <c r="D15" s="47"/>
      <c r="E15" s="90">
        <f ca="1">_xll.DBRW($D$1,$C$5,$D$5,$C15,E$7,$F$5,$G$5,$E$5)</f>
        <v>40447.75389991024</v>
      </c>
      <c r="F15" s="88">
        <f ca="1">_xll.DBRW($D$1,$C$5,$D$5,$C15,F$7,$F$5,$G$5,$E$5)</f>
        <v>10158.307899910234</v>
      </c>
      <c r="G15" s="88">
        <f ca="1">_xll.DBRW($D$1,$C$5,$D$5,$C15,G$7,$F$5,$G$5,$E$5)</f>
        <v>9730.2562500000004</v>
      </c>
      <c r="H15" s="88">
        <f ca="1">_xll.DBRW($D$1,$C$5,$D$5,$C15,H$7,$F$5,$G$5,$E$5)</f>
        <v>10117.31875</v>
      </c>
      <c r="I15" s="88">
        <f ca="1">_xll.DBRW($D$1,$C$5,$D$5,$C15,I$7,$F$5,$G$5,$E$5)</f>
        <v>10441.870999999999</v>
      </c>
    </row>
    <row r="16" spans="1:11" ht="15" customHeight="1" x14ac:dyDescent="0.25">
      <c r="B16" s="18" t="s">
        <v>61</v>
      </c>
      <c r="C16" s="93" t="str">
        <f ca="1">_xll.DBRA("region06:product",$B16,"Caption_Default")</f>
        <v>Gaming</v>
      </c>
      <c r="D16" s="47"/>
      <c r="E16" s="90">
        <f ca="1">_xll.DBRW($D$1,$C$5,$D$5,$C16,E$7,$F$5,$G$5,$E$5)</f>
        <v>7322.6953738779175</v>
      </c>
      <c r="F16" s="88">
        <f ca="1">_xll.DBRW($D$1,$C$5,$D$5,$C16,F$7,$F$5,$G$5,$E$5)</f>
        <v>1862.6116238779173</v>
      </c>
      <c r="G16" s="88">
        <f ca="1">_xll.DBRW($D$1,$C$5,$D$5,$C16,G$7,$F$5,$G$5,$E$5)</f>
        <v>1758.7927500000003</v>
      </c>
      <c r="H16" s="88">
        <f ca="1">_xll.DBRW($D$1,$C$5,$D$5,$C16,H$7,$F$5,$G$5,$E$5)</f>
        <v>1808.2927500000001</v>
      </c>
      <c r="I16" s="88">
        <f ca="1">_xll.DBRW($D$1,$C$5,$D$5,$C16,I$7,$F$5,$G$5,$E$5)</f>
        <v>1892.9982500000001</v>
      </c>
    </row>
    <row r="17" spans="2:9" ht="15" customHeight="1" x14ac:dyDescent="0.25">
      <c r="B17" s="18" t="s">
        <v>62</v>
      </c>
      <c r="C17" s="94" t="str">
        <f ca="1">_xll.DBRA("region06:product",$B17,"Caption_Default")</f>
        <v>Tablets</v>
      </c>
      <c r="D17" s="53"/>
      <c r="E17" s="91">
        <f ca="1">_xll.DBRW($D$1,$C$5,$D$5,$C17,E$7,$F$5,$G$5,$E$5)</f>
        <v>61127.649064183133</v>
      </c>
      <c r="F17" s="91">
        <f ca="1">_xll.DBRW($D$1,$C$5,$D$5,$C17,F$7,$F$5,$G$5,$E$5)</f>
        <v>15534.323814183126</v>
      </c>
      <c r="G17" s="91">
        <f ca="1">_xll.DBRW($D$1,$C$5,$D$5,$C17,G$7,$F$5,$G$5,$E$5)</f>
        <v>12665.419250000003</v>
      </c>
      <c r="H17" s="91">
        <f ca="1">_xll.DBRW($D$1,$C$5,$D$5,$C17,H$7,$F$5,$G$5,$E$5)</f>
        <v>14482.146250000002</v>
      </c>
      <c r="I17" s="91">
        <f ca="1">_xll.DBRW($D$1,$C$5,$D$5,$C17,I$7,$F$5,$G$5,$E$5)</f>
        <v>18445.759750000001</v>
      </c>
    </row>
    <row r="18" spans="2:9" ht="15" customHeight="1" x14ac:dyDescent="0.25">
      <c r="B18" s="18" t="s">
        <v>63</v>
      </c>
      <c r="C18" s="93" t="str">
        <f ca="1">_xll.DBRA("region06:product",$B18,"Caption_Default")</f>
        <v>10 Inch Tablets</v>
      </c>
      <c r="D18" s="47"/>
      <c r="E18" s="90">
        <f ca="1">_xll.DBRW($D$1,$C$5,$D$5,$C18,E$7,$F$5,$G$5,$E$5)</f>
        <v>28926.605201526032</v>
      </c>
      <c r="F18" s="88">
        <f ca="1">_xll.DBRW($D$1,$C$5,$D$5,$C18,F$7,$F$5,$G$5,$E$5)</f>
        <v>7672.564701526032</v>
      </c>
      <c r="G18" s="88">
        <f ca="1">_xll.DBRW($D$1,$C$5,$D$5,$C18,G$7,$F$5,$G$5,$E$5)</f>
        <v>6073.7489999999998</v>
      </c>
      <c r="H18" s="88">
        <f ca="1">_xll.DBRW($D$1,$C$5,$D$5,$C18,H$7,$F$5,$G$5,$E$5)</f>
        <v>6491.4849999999997</v>
      </c>
      <c r="I18" s="88">
        <f ca="1">_xll.DBRW($D$1,$C$5,$D$5,$C18,I$7,$F$5,$G$5,$E$5)</f>
        <v>8688.8065000000024</v>
      </c>
    </row>
    <row r="19" spans="2:9" ht="15" customHeight="1" x14ac:dyDescent="0.25">
      <c r="B19" s="18" t="s">
        <v>64</v>
      </c>
      <c r="C19" s="93" t="str">
        <f ca="1">_xll.DBRA("region06:product",$B19,"Caption_Default")</f>
        <v>8 Inch Tablets</v>
      </c>
      <c r="D19" s="47"/>
      <c r="E19" s="90">
        <f ca="1">_xll.DBRW($D$1,$C$5,$D$5,$C19,E$7,$F$5,$G$5,$E$5)</f>
        <v>32201.043862657094</v>
      </c>
      <c r="F19" s="88">
        <f ca="1">_xll.DBRW($D$1,$C$5,$D$5,$C19,F$7,$F$5,$G$5,$E$5)</f>
        <v>7861.7591126570924</v>
      </c>
      <c r="G19" s="88">
        <f ca="1">_xll.DBRW($D$1,$C$5,$D$5,$C19,G$7,$F$5,$G$5,$E$5)</f>
        <v>6591.6702500000001</v>
      </c>
      <c r="H19" s="88">
        <f ca="1">_xll.DBRW($D$1,$C$5,$D$5,$C19,H$7,$F$5,$G$5,$E$5)</f>
        <v>7990.661250000001</v>
      </c>
      <c r="I19" s="88">
        <f ca="1">_xll.DBRW($D$1,$C$5,$D$5,$C19,I$7,$F$5,$G$5,$E$5)</f>
        <v>9756.9532500000005</v>
      </c>
    </row>
    <row r="24" spans="2:9" x14ac:dyDescent="0.25">
      <c r="I24" t="s">
        <v>85</v>
      </c>
    </row>
  </sheetData>
  <mergeCells count="1">
    <mergeCell ref="C2:D2"/>
  </mergeCells>
  <phoneticPr fontId="10" type="noConversion"/>
  <pageMargins left="0.75" right="0.75" top="1" bottom="1" header="0.5" footer="0.5"/>
  <pageSetup paperSize="9" fitToHeight="0" orientation="landscape" r:id="rId1"/>
  <headerFooter alignWithMargins="0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lineWeight="1.5" displayEmptyCellsAs="gap" markers="1" high="1" low="1">
          <x14:colorSeries rgb="FF0296DF"/>
          <x14:colorNegative theme="5"/>
          <x14:colorAxis rgb="FF000000"/>
          <x14:colorMarkers rgb="FF0296DF"/>
          <x14:colorFirst theme="4" tint="0.39997558519241921"/>
          <x14:colorLast theme="4" tint="0.39997558519241921"/>
          <x14:colorHigh rgb="FF0296DF"/>
          <x14:colorLow rgb="FF0296DF"/>
          <x14:sparklines>
            <x14:sparkline>
              <xm:f>Report!F8:I8</xm:f>
              <xm:sqref>D8</xm:sqref>
            </x14:sparkline>
            <x14:sparkline>
              <xm:f>Report!F9:I9</xm:f>
              <xm:sqref>D9</xm:sqref>
            </x14:sparkline>
            <x14:sparkline>
              <xm:f>Report!F10:I10</xm:f>
              <xm:sqref>D10</xm:sqref>
            </x14:sparkline>
            <x14:sparkline>
              <xm:f>Report!F11:I11</xm:f>
              <xm:sqref>D11</xm:sqref>
            </x14:sparkline>
            <x14:sparkline>
              <xm:f>Report!F12:I12</xm:f>
              <xm:sqref>D12</xm:sqref>
            </x14:sparkline>
            <x14:sparkline>
              <xm:f>Report!F13:I13</xm:f>
              <xm:sqref>D13</xm:sqref>
            </x14:sparkline>
            <x14:sparkline>
              <xm:f>Report!F14:I14</xm:f>
              <xm:sqref>D14</xm:sqref>
            </x14:sparkline>
            <x14:sparkline>
              <xm:f>Report!F15:I15</xm:f>
              <xm:sqref>D15</xm:sqref>
            </x14:sparkline>
            <x14:sparkline>
              <xm:f>Report!F16:I16</xm:f>
              <xm:sqref>D16</xm:sqref>
            </x14:sparkline>
            <x14:sparkline>
              <xm:f>Report!F17:I17</xm:f>
              <xm:sqref>D17</xm:sqref>
            </x14:sparkline>
            <x14:sparkline>
              <xm:f>Report!F18:I18</xm:f>
              <xm:sqref>D18</xm:sqref>
            </x14:sparkline>
            <x14:sparkline>
              <xm:f>Report!F19:I19</xm:f>
              <xm:sqref>D19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5" x14ac:dyDescent="0.25"/>
  <cols>
    <col min="1" max="1" width="17" customWidth="1"/>
    <col min="7" max="7" width="14.85546875" customWidth="1"/>
  </cols>
  <sheetData>
    <row r="1" spans="1:13" x14ac:dyDescent="0.25">
      <c r="A1" s="2" t="s">
        <v>10</v>
      </c>
      <c r="D1" s="2" t="s">
        <v>16</v>
      </c>
      <c r="G1" s="2" t="s">
        <v>36</v>
      </c>
      <c r="H1" s="2"/>
      <c r="I1" s="2" t="s">
        <v>37</v>
      </c>
      <c r="J1" s="2"/>
      <c r="K1" s="2"/>
      <c r="L1" s="2"/>
      <c r="M1" s="2" t="s">
        <v>38</v>
      </c>
    </row>
    <row r="2" spans="1:13" x14ac:dyDescent="0.25">
      <c r="A2" t="s">
        <v>11</v>
      </c>
      <c r="D2" t="s">
        <v>9</v>
      </c>
      <c r="E2">
        <v>1</v>
      </c>
      <c r="G2" t="s">
        <v>39</v>
      </c>
      <c r="I2" t="str">
        <f ca="1">_xll.SUBNM("smartco:product","Product Groups",ROW()-1,"Label")</f>
        <v/>
      </c>
      <c r="M2" t="str">
        <f ca="1">_xll.SUBNM("smartco:Spread Methods","Default",ROW()-1,"Caption_Default")</f>
        <v/>
      </c>
    </row>
    <row r="3" spans="1:13" x14ac:dyDescent="0.25">
      <c r="A3" t="s">
        <v>12</v>
      </c>
      <c r="D3" t="s">
        <v>17</v>
      </c>
      <c r="E3">
        <v>0</v>
      </c>
      <c r="G3" t="s">
        <v>35</v>
      </c>
      <c r="I3" t="str">
        <f ca="1">_xll.SUBNM("smartco:product","Product Groups",ROW()-1,"Label")</f>
        <v/>
      </c>
      <c r="M3" t="str">
        <f ca="1">_xll.SUBNM("smartco:Spread Methods","Default",ROW()-1,"Caption_Default")</f>
        <v/>
      </c>
    </row>
    <row r="4" spans="1:13" x14ac:dyDescent="0.25">
      <c r="A4" t="s">
        <v>13</v>
      </c>
      <c r="I4" t="str">
        <f ca="1">_xll.SUBNM("smartco:product","Product Groups",ROW()-1,"Label")</f>
        <v/>
      </c>
      <c r="M4" t="str">
        <f ca="1">_xll.SUBNM("smartco:Spread Methods","Default",ROW()-1,"Caption_Default")</f>
        <v/>
      </c>
    </row>
    <row r="5" spans="1:13" x14ac:dyDescent="0.25">
      <c r="A5" t="s">
        <v>14</v>
      </c>
      <c r="I5" t="str">
        <f ca="1">_xll.SUBNM("smartco:product","Product Groups",ROW()-1,"Label")</f>
        <v/>
      </c>
      <c r="M5" t="str">
        <f ca="1">_xll.SUBNM("smartco:Spread Methods","Default",ROW()-1,"Caption_Default")</f>
        <v/>
      </c>
    </row>
    <row r="6" spans="1:13" x14ac:dyDescent="0.25">
      <c r="A6" t="s">
        <v>15</v>
      </c>
      <c r="I6" t="str">
        <f ca="1">_xll.SUBNM("smartco:product","Product Groups",ROW()-1,"Label")</f>
        <v/>
      </c>
      <c r="M6" t="str">
        <f ca="1">_xll.SUBNM("smartco:Spread Methods","Default",ROW()-1,"Caption_Default")</f>
        <v/>
      </c>
    </row>
    <row r="7" spans="1:13" x14ac:dyDescent="0.25">
      <c r="I7" t="str">
        <f ca="1">_xll.SUBNM("smartco:product","Product Groups",ROW()-1,"Label")</f>
        <v/>
      </c>
      <c r="M7" t="str">
        <f ca="1">_xll.SUBNM("smartco:Spread Methods","Default",ROW()-1,"Caption_Default")</f>
        <v/>
      </c>
    </row>
    <row r="8" spans="1:13" x14ac:dyDescent="0.25">
      <c r="I8" t="str">
        <f ca="1">_xll.SUBNM("smartco:product","Product Groups",ROW()-1,"Label")</f>
        <v/>
      </c>
      <c r="M8" t="str">
        <f ca="1">_xll.SUBNM("smartco:Spread Methods","Default",ROW()-1,"Caption_Default")</f>
        <v/>
      </c>
    </row>
    <row r="9" spans="1:13" x14ac:dyDescent="0.25">
      <c r="I9" t="str">
        <f ca="1">_xll.SUBNM("smartco:product","Product Groups",ROW()-1,"Label")</f>
        <v/>
      </c>
      <c r="M9" t="str">
        <f ca="1">_xll.SUBNM("smartco:Spread Methods","Default",ROW()-1,"Caption_Default")</f>
        <v/>
      </c>
    </row>
    <row r="10" spans="1:13" x14ac:dyDescent="0.25">
      <c r="I10" t="str">
        <f ca="1">_xll.SUBNM("smartco:product","Product Groups",ROW()-1,"Label")</f>
        <v/>
      </c>
      <c r="M10" t="str">
        <f ca="1">_xll.SUBNM("smartco:Spread Methods","Default",ROW()-1,"Caption_Default")</f>
        <v/>
      </c>
    </row>
    <row r="11" spans="1:13" x14ac:dyDescent="0.25">
      <c r="I11" t="str">
        <f ca="1">_xll.SUBNM("smartco:product","Product Groups",ROW()-1,"Label")</f>
        <v/>
      </c>
      <c r="M11" t="str">
        <f ca="1">_xll.SUBNM("smartco:Spread Methods","Default",ROW()-1,"Caption_Default")</f>
        <v/>
      </c>
    </row>
    <row r="12" spans="1:13" x14ac:dyDescent="0.25">
      <c r="M12" t="str">
        <f ca="1">_xll.SUBNM("smartco:Spread Methods","Default",ROW()-1,"Caption_Default")</f>
        <v/>
      </c>
    </row>
    <row r="13" spans="1:13" x14ac:dyDescent="0.25">
      <c r="M13" t="str">
        <f ca="1">_xll.SUBNM("smartco:Spread Methods","Default",ROW()-1,"Caption_Default")</f>
        <v/>
      </c>
    </row>
    <row r="14" spans="1:13" x14ac:dyDescent="0.25">
      <c r="M14" t="str">
        <f ca="1">_xll.SUBNM("smartco:Spread Methods","Default",ROW()-1,"Caption_Default")</f>
        <v/>
      </c>
    </row>
    <row r="15" spans="1:13" x14ac:dyDescent="0.25">
      <c r="M15" t="str">
        <f ca="1">_xll.SUBNM("smartco:Spread Methods","Default",ROW()-1,"Caption_Default")</f>
        <v/>
      </c>
    </row>
    <row r="16" spans="1:13" x14ac:dyDescent="0.25">
      <c r="M16" t="str">
        <f ca="1">_xll.SUBNM("smartco:Spread Methods","Default",ROW()-1,"Caption_Default")</f>
        <v/>
      </c>
    </row>
    <row r="17" spans="9:13" x14ac:dyDescent="0.25">
      <c r="M17" t="str">
        <f ca="1">_xll.SUBNM("smartco:Spread Methods","Default",ROW()-1,"Caption_Default")</f>
        <v/>
      </c>
    </row>
    <row r="18" spans="9:13" x14ac:dyDescent="0.25">
      <c r="I18" t="str">
        <f ca="1">_xll.SUBNM("smartco:product","Product Groups",ROW(),"Label")</f>
        <v/>
      </c>
      <c r="M18" t="str">
        <f ca="1">_xll.SUBNM("smartco:Spread Methods","Default",ROW()-1,"Caption_Default")</f>
        <v/>
      </c>
    </row>
    <row r="19" spans="9:13" x14ac:dyDescent="0.25">
      <c r="M19" t="str">
        <f ca="1">_xll.SUBNM("smartco:Spread Methods","Default",ROW()-1,"Caption_Default")</f>
        <v/>
      </c>
    </row>
    <row r="20" spans="9:13" x14ac:dyDescent="0.25">
      <c r="M20" t="str">
        <f ca="1">_xll.SUBNM("smartco:Spread Methods","Default",ROW()-1,"Caption_Default")</f>
        <v/>
      </c>
    </row>
    <row r="21" spans="9:13" x14ac:dyDescent="0.25">
      <c r="M21" t="str">
        <f ca="1">_xll.SUBNM("smartco:Spread Methods","Default",ROW()-1,"Caption_Default")</f>
        <v/>
      </c>
    </row>
    <row r="22" spans="9:13" x14ac:dyDescent="0.25">
      <c r="M22" t="str">
        <f ca="1">_xll.SUBNM("smartco:Spread Methods","Default",ROW()-1,"Caption_Default")</f>
        <v/>
      </c>
    </row>
    <row r="23" spans="9:13" x14ac:dyDescent="0.25">
      <c r="M23" t="str">
        <f ca="1">_xll.SUBNM("smartco:Spread Methods","Default",ROW()-1,"Caption_Default")</f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24</vt:i4>
      </vt:variant>
    </vt:vector>
  </HeadingPairs>
  <TitlesOfParts>
    <vt:vector size="33" baseType="lpstr">
      <vt:lpstr>ProductAdmin</vt:lpstr>
      <vt:lpstr>UnitFcst</vt:lpstr>
      <vt:lpstr>ChannelDetail</vt:lpstr>
      <vt:lpstr>MarginDetail</vt:lpstr>
      <vt:lpstr>Lookup</vt:lpstr>
      <vt:lpstr>MarginDetailByQ</vt:lpstr>
      <vt:lpstr>Assumptions</vt:lpstr>
      <vt:lpstr>Report</vt:lpstr>
      <vt:lpstr>Lookup (2)</vt:lpstr>
      <vt:lpstr>'Lookup (2)'!Method</vt:lpstr>
      <vt:lpstr>Method</vt:lpstr>
      <vt:lpstr>ProductAdmin!pChannel</vt:lpstr>
      <vt:lpstr>ProductAdmin!pCurrentProduct</vt:lpstr>
      <vt:lpstr>ProductAdmin!pNewName</vt:lpstr>
      <vt:lpstr>ProductAdmin!pNewNumber</vt:lpstr>
      <vt:lpstr>pOrg</vt:lpstr>
      <vt:lpstr>ProductAdmin!pParent</vt:lpstr>
      <vt:lpstr>ProductAdmin!pProductDriver</vt:lpstr>
      <vt:lpstr>'Lookup (2)'!ProductGroups</vt:lpstr>
      <vt:lpstr>ProductGroups</vt:lpstr>
      <vt:lpstr>'Lookup (2)'!ProductSubsets</vt:lpstr>
      <vt:lpstr>ProductSubsets</vt:lpstr>
      <vt:lpstr>ProductAdmin!pSpread</vt:lpstr>
      <vt:lpstr>ProductAdmin!pUnitFcst</vt:lpstr>
      <vt:lpstr>ProductAdmin!pVersion</vt:lpstr>
      <vt:lpstr>ProductAdmin!pYear</vt:lpstr>
      <vt:lpstr>'Lookup (2)'!SelectYesNo</vt:lpstr>
      <vt:lpstr>SelectYesNo</vt:lpstr>
      <vt:lpstr>'Lookup (2)'!Spreads</vt:lpstr>
      <vt:lpstr>Spreads</vt:lpstr>
      <vt:lpstr>UnitFcst!TM1RPTDATARNG1</vt:lpstr>
      <vt:lpstr>UnitFcst!TM1RPTFMTIDCOL</vt:lpstr>
      <vt:lpstr>UnitFcst!TM1RPTFMTRNG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ibmuser</dc:creator>
  <cp:lastModifiedBy>modeler12</cp:lastModifiedBy>
  <cp:lastPrinted>2015-10-14T21:43:21Z</cp:lastPrinted>
  <dcterms:created xsi:type="dcterms:W3CDTF">2011-12-01T18:47:49Z</dcterms:created>
  <dcterms:modified xsi:type="dcterms:W3CDTF">2018-05-08T10:21:28Z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annelDetailancestorsArrayListCount">
    <vt:i4>1</vt:i4>
  </property>
  <property fmtid="{D5CDD505-2E9C-101B-9397-08002B2CF9AE}" pid="3" name="ChannelDetailancestorsArrayList1">
    <vt:lpwstr>[]</vt:lpwstr>
  </property>
  <property fmtid="{D5CDD505-2E9C-101B-9397-08002B2CF9AE}" pid="4" name="ChannelDetailcontextObjectCount">
    <vt:i4>1</vt:i4>
  </property>
  <property fmtid="{D5CDD505-2E9C-101B-9397-08002B2CF9AE}" pid="5" name="ChannelDetailcontextObject1">
    <vt:lpwstr>{}</vt:lpwstr>
  </property>
  <property fmtid="{D5CDD505-2E9C-101B-9397-08002B2CF9AE}" pid="6" name="ChannelDetailcolumnsArrayCount">
    <vt:i4>1</vt:i4>
  </property>
  <property fmtid="{D5CDD505-2E9C-101B-9397-08002B2CF9AE}" pid="7" name="ChannelDetailcolumnsArray1">
    <vt:lpwstr>[]</vt:lpwstr>
  </property>
  <property fmtid="{D5CDD505-2E9C-101B-9397-08002B2CF9AE}" pid="8" name="ChannelDetailmembersObjectCount">
    <vt:i4>1</vt:i4>
  </property>
  <property fmtid="{D5CDD505-2E9C-101B-9397-08002B2CF9AE}" pid="9" name="ChannelDetailmembersObject1">
    <vt:lpwstr>{}</vt:lpwstr>
  </property>
  <property fmtid="{D5CDD505-2E9C-101B-9397-08002B2CF9AE}" pid="10" name="ChannelDetailmembersArrayCount">
    <vt:i4>1</vt:i4>
  </property>
  <property fmtid="{D5CDD505-2E9C-101B-9397-08002B2CF9AE}" pid="11" name="ChannelDetailmembersArray1">
    <vt:lpwstr>[]</vt:lpwstr>
  </property>
  <property fmtid="{D5CDD505-2E9C-101B-9397-08002B2CF9AE}" pid="12" name="ChannelDetailchangeListObjectCount">
    <vt:i4>1</vt:i4>
  </property>
  <property fmtid="{D5CDD505-2E9C-101B-9397-08002B2CF9AE}" pid="13" name="ChannelDetailchangeListObject1">
    <vt:lpwstr>{}</vt:lpwstr>
  </property>
  <property fmtid="{D5CDD505-2E9C-101B-9397-08002B2CF9AE}" pid="14" name="MarginDetailancestorsArrayListCount">
    <vt:i4>1</vt:i4>
  </property>
  <property fmtid="{D5CDD505-2E9C-101B-9397-08002B2CF9AE}" pid="15" name="MarginDetailancestorsArrayList1">
    <vt:lpwstr>[]</vt:lpwstr>
  </property>
  <property fmtid="{D5CDD505-2E9C-101B-9397-08002B2CF9AE}" pid="16" name="MarginDetailcontextObjectCount">
    <vt:i4>1</vt:i4>
  </property>
  <property fmtid="{D5CDD505-2E9C-101B-9397-08002B2CF9AE}" pid="17" name="MarginDetailcontextObject1">
    <vt:lpwstr>{}</vt:lpwstr>
  </property>
  <property fmtid="{D5CDD505-2E9C-101B-9397-08002B2CF9AE}" pid="18" name="MarginDetailcolumnsArrayCount">
    <vt:i4>1</vt:i4>
  </property>
  <property fmtid="{D5CDD505-2E9C-101B-9397-08002B2CF9AE}" pid="19" name="MarginDetailcolumnsArray1">
    <vt:lpwstr>[]</vt:lpwstr>
  </property>
  <property fmtid="{D5CDD505-2E9C-101B-9397-08002B2CF9AE}" pid="20" name="MarginDetailmembersObjectCount">
    <vt:i4>1</vt:i4>
  </property>
  <property fmtid="{D5CDD505-2E9C-101B-9397-08002B2CF9AE}" pid="21" name="MarginDetailmembersObject1">
    <vt:lpwstr>{}</vt:lpwstr>
  </property>
  <property fmtid="{D5CDD505-2E9C-101B-9397-08002B2CF9AE}" pid="22" name="MarginDetailmembersArrayCount">
    <vt:i4>1</vt:i4>
  </property>
  <property fmtid="{D5CDD505-2E9C-101B-9397-08002B2CF9AE}" pid="23" name="MarginDetailmembersArray1">
    <vt:lpwstr>[]</vt:lpwstr>
  </property>
  <property fmtid="{D5CDD505-2E9C-101B-9397-08002B2CF9AE}" pid="24" name="MarginDetailchangeListObjectCount">
    <vt:i4>1</vt:i4>
  </property>
  <property fmtid="{D5CDD505-2E9C-101B-9397-08002B2CF9AE}" pid="25" name="MarginDetailchangeListObject1">
    <vt:lpwstr>{}</vt:lpwstr>
  </property>
  <property fmtid="{D5CDD505-2E9C-101B-9397-08002B2CF9AE}" pid="26" name="ProductAdminancestorsArrayListCount">
    <vt:i4>1</vt:i4>
  </property>
  <property fmtid="{D5CDD505-2E9C-101B-9397-08002B2CF9AE}" pid="27" name="ProductAdminancestorsArrayList1">
    <vt:lpwstr>[]</vt:lpwstr>
  </property>
  <property fmtid="{D5CDD505-2E9C-101B-9397-08002B2CF9AE}" pid="28" name="ProductAdmincontextObjectCount">
    <vt:i4>1</vt:i4>
  </property>
  <property fmtid="{D5CDD505-2E9C-101B-9397-08002B2CF9AE}" pid="29" name="ProductAdmincontextObject1">
    <vt:lpwstr>{}</vt:lpwstr>
  </property>
  <property fmtid="{D5CDD505-2E9C-101B-9397-08002B2CF9AE}" pid="30" name="ProductAdmincolumnsArrayCount">
    <vt:i4>1</vt:i4>
  </property>
  <property fmtid="{D5CDD505-2E9C-101B-9397-08002B2CF9AE}" pid="31" name="ProductAdmincolumnsArray1">
    <vt:lpwstr>[]</vt:lpwstr>
  </property>
  <property fmtid="{D5CDD505-2E9C-101B-9397-08002B2CF9AE}" pid="32" name="ProductAdminmembersObjectCount">
    <vt:i4>1</vt:i4>
  </property>
  <property fmtid="{D5CDD505-2E9C-101B-9397-08002B2CF9AE}" pid="33" name="ProductAdminmembersObject1">
    <vt:lpwstr>{}</vt:lpwstr>
  </property>
  <property fmtid="{D5CDD505-2E9C-101B-9397-08002B2CF9AE}" pid="34" name="ProductAdminmembersArrayCount">
    <vt:i4>1</vt:i4>
  </property>
  <property fmtid="{D5CDD505-2E9C-101B-9397-08002B2CF9AE}" pid="35" name="ProductAdminmembersArray1">
    <vt:lpwstr>[]</vt:lpwstr>
  </property>
  <property fmtid="{D5CDD505-2E9C-101B-9397-08002B2CF9AE}" pid="36" name="ProductAdminchangeListObjectCount">
    <vt:i4>1</vt:i4>
  </property>
  <property fmtid="{D5CDD505-2E9C-101B-9397-08002B2CF9AE}" pid="37" name="ProductAdminchangeListObject1">
    <vt:lpwstr>{}</vt:lpwstr>
  </property>
  <property fmtid="{D5CDD505-2E9C-101B-9397-08002B2CF9AE}" pid="38" name="LookupancestorsArrayListCount">
    <vt:i4>1</vt:i4>
  </property>
  <property fmtid="{D5CDD505-2E9C-101B-9397-08002B2CF9AE}" pid="39" name="LookupancestorsArrayList1">
    <vt:lpwstr>[]</vt:lpwstr>
  </property>
  <property fmtid="{D5CDD505-2E9C-101B-9397-08002B2CF9AE}" pid="40" name="LookupcontextObjectCount">
    <vt:i4>1</vt:i4>
  </property>
  <property fmtid="{D5CDD505-2E9C-101B-9397-08002B2CF9AE}" pid="41" name="LookupcontextObject1">
    <vt:lpwstr>{}</vt:lpwstr>
  </property>
  <property fmtid="{D5CDD505-2E9C-101B-9397-08002B2CF9AE}" pid="42" name="LookupcolumnsArrayCount">
    <vt:i4>1</vt:i4>
  </property>
  <property fmtid="{D5CDD505-2E9C-101B-9397-08002B2CF9AE}" pid="43" name="LookupcolumnsArray1">
    <vt:lpwstr>[]</vt:lpwstr>
  </property>
  <property fmtid="{D5CDD505-2E9C-101B-9397-08002B2CF9AE}" pid="44" name="LookupmembersObjectCount">
    <vt:i4>1</vt:i4>
  </property>
  <property fmtid="{D5CDD505-2E9C-101B-9397-08002B2CF9AE}" pid="45" name="LookupmembersObject1">
    <vt:lpwstr>{}</vt:lpwstr>
  </property>
  <property fmtid="{D5CDD505-2E9C-101B-9397-08002B2CF9AE}" pid="46" name="LookupmembersArrayCount">
    <vt:i4>1</vt:i4>
  </property>
  <property fmtid="{D5CDD505-2E9C-101B-9397-08002B2CF9AE}" pid="47" name="LookupmembersArray1">
    <vt:lpwstr>[]</vt:lpwstr>
  </property>
  <property fmtid="{D5CDD505-2E9C-101B-9397-08002B2CF9AE}" pid="48" name="LookupchangeListObjectCount">
    <vt:i4>1</vt:i4>
  </property>
  <property fmtid="{D5CDD505-2E9C-101B-9397-08002B2CF9AE}" pid="49" name="LookupchangeListObject1">
    <vt:lpwstr>{}</vt:lpwstr>
  </property>
  <property fmtid="{D5CDD505-2E9C-101B-9397-08002B2CF9AE}" pid="50" name="AssumptionsancestorsArrayListCount">
    <vt:i4>1</vt:i4>
  </property>
  <property fmtid="{D5CDD505-2E9C-101B-9397-08002B2CF9AE}" pid="51" name="AssumptionsancestorsArrayList1">
    <vt:lpwstr>[]</vt:lpwstr>
  </property>
  <property fmtid="{D5CDD505-2E9C-101B-9397-08002B2CF9AE}" pid="52" name="AssumptionscontextObjectCount">
    <vt:i4>1</vt:i4>
  </property>
  <property fmtid="{D5CDD505-2E9C-101B-9397-08002B2CF9AE}" pid="53" name="AssumptionscontextObject1">
    <vt:lpwstr>{}</vt:lpwstr>
  </property>
  <property fmtid="{D5CDD505-2E9C-101B-9397-08002B2CF9AE}" pid="54" name="AssumptionscolumnsArrayCount">
    <vt:i4>1</vt:i4>
  </property>
  <property fmtid="{D5CDD505-2E9C-101B-9397-08002B2CF9AE}" pid="55" name="AssumptionscolumnsArray1">
    <vt:lpwstr>[]</vt:lpwstr>
  </property>
  <property fmtid="{D5CDD505-2E9C-101B-9397-08002B2CF9AE}" pid="56" name="AssumptionsmembersObjectCount">
    <vt:i4>1</vt:i4>
  </property>
  <property fmtid="{D5CDD505-2E9C-101B-9397-08002B2CF9AE}" pid="57" name="AssumptionsmembersObject1">
    <vt:lpwstr>{}</vt:lpwstr>
  </property>
  <property fmtid="{D5CDD505-2E9C-101B-9397-08002B2CF9AE}" pid="58" name="AssumptionsmembersArrayCount">
    <vt:i4>1</vt:i4>
  </property>
  <property fmtid="{D5CDD505-2E9C-101B-9397-08002B2CF9AE}" pid="59" name="AssumptionsmembersArray1">
    <vt:lpwstr>[]</vt:lpwstr>
  </property>
  <property fmtid="{D5CDD505-2E9C-101B-9397-08002B2CF9AE}" pid="60" name="AssumptionschangeListObjectCount">
    <vt:i4>1</vt:i4>
  </property>
  <property fmtid="{D5CDD505-2E9C-101B-9397-08002B2CF9AE}" pid="61" name="AssumptionschangeListObject1">
    <vt:lpwstr>{}</vt:lpwstr>
  </property>
  <property fmtid="{D5CDD505-2E9C-101B-9397-08002B2CF9AE}" pid="62" name="ReportancestorsArrayListCount">
    <vt:i4>1</vt:i4>
  </property>
  <property fmtid="{D5CDD505-2E9C-101B-9397-08002B2CF9AE}" pid="63" name="ReportancestorsArrayList1">
    <vt:lpwstr>[]</vt:lpwstr>
  </property>
  <property fmtid="{D5CDD505-2E9C-101B-9397-08002B2CF9AE}" pid="64" name="ReportcontextObjectCount">
    <vt:i4>1</vt:i4>
  </property>
  <property fmtid="{D5CDD505-2E9C-101B-9397-08002B2CF9AE}" pid="65" name="ReportcontextObject1">
    <vt:lpwstr>{}</vt:lpwstr>
  </property>
  <property fmtid="{D5CDD505-2E9C-101B-9397-08002B2CF9AE}" pid="66" name="ReportcolumnsArrayCount">
    <vt:i4>1</vt:i4>
  </property>
  <property fmtid="{D5CDD505-2E9C-101B-9397-08002B2CF9AE}" pid="67" name="ReportcolumnsArray1">
    <vt:lpwstr>[]</vt:lpwstr>
  </property>
  <property fmtid="{D5CDD505-2E9C-101B-9397-08002B2CF9AE}" pid="68" name="ReportmembersObjectCount">
    <vt:i4>1</vt:i4>
  </property>
  <property fmtid="{D5CDD505-2E9C-101B-9397-08002B2CF9AE}" pid="69" name="ReportmembersObject1">
    <vt:lpwstr>{}</vt:lpwstr>
  </property>
  <property fmtid="{D5CDD505-2E9C-101B-9397-08002B2CF9AE}" pid="70" name="ReportmembersArrayCount">
    <vt:i4>1</vt:i4>
  </property>
  <property fmtid="{D5CDD505-2E9C-101B-9397-08002B2CF9AE}" pid="71" name="ReportmembersArray1">
    <vt:lpwstr>[]</vt:lpwstr>
  </property>
  <property fmtid="{D5CDD505-2E9C-101B-9397-08002B2CF9AE}" pid="72" name="ReportchangeListObjectCount">
    <vt:i4>1</vt:i4>
  </property>
  <property fmtid="{D5CDD505-2E9C-101B-9397-08002B2CF9AE}" pid="73" name="ReportchangeListObject1">
    <vt:lpwstr>{}</vt:lpwstr>
  </property>
  <property fmtid="{D5CDD505-2E9C-101B-9397-08002B2CF9AE}" pid="74" name="UnitFcstancestorsArrayListCount">
    <vt:i4>1</vt:i4>
  </property>
  <property fmtid="{D5CDD505-2E9C-101B-9397-08002B2CF9AE}" pid="75" name="UnitFcstancestorsArrayList1">
    <vt:lpwstr>[]</vt:lpwstr>
  </property>
  <property fmtid="{D5CDD505-2E9C-101B-9397-08002B2CF9AE}" pid="76" name="UnitFcstcontextObjectCount">
    <vt:i4>1</vt:i4>
  </property>
  <property fmtid="{D5CDD505-2E9C-101B-9397-08002B2CF9AE}" pid="77" name="UnitFcstcontextObject1">
    <vt:lpwstr>{}</vt:lpwstr>
  </property>
  <property fmtid="{D5CDD505-2E9C-101B-9397-08002B2CF9AE}" pid="78" name="UnitFcstcolumnsArrayCount">
    <vt:i4>1</vt:i4>
  </property>
  <property fmtid="{D5CDD505-2E9C-101B-9397-08002B2CF9AE}" pid="79" name="UnitFcstcolumnsArray1">
    <vt:lpwstr>[]</vt:lpwstr>
  </property>
  <property fmtid="{D5CDD505-2E9C-101B-9397-08002B2CF9AE}" pid="80" name="UnitFcstmembersObjectCount">
    <vt:i4>1</vt:i4>
  </property>
  <property fmtid="{D5CDD505-2E9C-101B-9397-08002B2CF9AE}" pid="81" name="UnitFcstmembersObject1">
    <vt:lpwstr>{}</vt:lpwstr>
  </property>
  <property fmtid="{D5CDD505-2E9C-101B-9397-08002B2CF9AE}" pid="82" name="UnitFcstmembersArrayCount">
    <vt:i4>1</vt:i4>
  </property>
  <property fmtid="{D5CDD505-2E9C-101B-9397-08002B2CF9AE}" pid="83" name="UnitFcstmembersArray1">
    <vt:lpwstr>[]</vt:lpwstr>
  </property>
  <property fmtid="{D5CDD505-2E9C-101B-9397-08002B2CF9AE}" pid="84" name="UnitFcstchangeListObjectCount">
    <vt:i4>1</vt:i4>
  </property>
  <property fmtid="{D5CDD505-2E9C-101B-9397-08002B2CF9AE}" pid="85" name="UnitFcstchangeListObject1">
    <vt:lpwstr>{}</vt:lpwstr>
  </property>
</Properties>
</file>