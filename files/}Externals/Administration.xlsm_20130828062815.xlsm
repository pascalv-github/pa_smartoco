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9300" windowHeight="2640"/>
  </bookViews>
  <sheets>
    <sheet name="Versions" sheetId="1" r:id="rId1"/>
    <sheet name="VersionAttributes" sheetId="4" r:id="rId2"/>
    <sheet name="LookUp" sheetId="2" state="hidden" r:id="rId3"/>
    <sheet name="{PL}PickLst" sheetId="3" state="hidden" r:id="rId4"/>
    <sheet name="VersionSubsets" sheetId="5" r:id="rId5"/>
    <sheet name="OrgAttributes" sheetId="8" r:id="rId6"/>
    <sheet name="ProductAttributes" sheetId="6" r:id="rId7"/>
    <sheet name="{AR}01" sheetId="7" state="hidden" r:id="rId8"/>
  </sheets>
  <definedNames>
    <definedName name="pCompareVersion">Versions!$J$13</definedName>
    <definedName name="pDefaultVersion">Versions!$J$7</definedName>
    <definedName name="pFromVersion">Versions!$D$12</definedName>
    <definedName name="pLinkToDrivers">Versions!$D$7</definedName>
    <definedName name="pNewVersion">Versions!$D$6</definedName>
    <definedName name="pSecurityVersion">Versions!$D$18</definedName>
    <definedName name="pSecurityVersionState">Versions!$D$19</definedName>
    <definedName name="pSubsetName">VersionSubsets!$C$13</definedName>
    <definedName name="pToVersion">Versions!$D$13</definedName>
    <definedName name="ReadWrite">LookUp!$B$2:$B$3</definedName>
    <definedName name="TM1REBUILDOPTION">1</definedName>
    <definedName name="TM1RPTDATARNG1" localSheetId="6">ProductAttributes!$14:$49</definedName>
    <definedName name="TM1RPTDATARNG1" localSheetId="1">VersionAttributes!$13:$33</definedName>
    <definedName name="TM1RPTDATARNG2" localSheetId="4">VersionSubsets!$16:$25</definedName>
    <definedName name="TM1RPTFMTIDCOL" localSheetId="6">ProductAttributes!$A$1:$A$8</definedName>
    <definedName name="TM1RPTFMTIDCOL" localSheetId="1">VersionAttributes!$A$1:$A$8</definedName>
    <definedName name="TM1RPTFMTIDCOL" localSheetId="4">VersionSubsets!$A$1:$A$8</definedName>
    <definedName name="TM1RPTFMTRNG" localSheetId="6">ProductAttributes!$C$1:$F$8</definedName>
    <definedName name="TM1RPTFMTRNG" localSheetId="1">VersionAttributes!$C$1:$H$8</definedName>
    <definedName name="TM1RPTFMTRNG" localSheetId="4">VersionSubsets!$C$1:$D$8</definedName>
    <definedName name="YesNo">LookUp!$A$2:$A$3</definedName>
  </definedNames>
  <calcPr calcId="145621" calcMode="manual" concurrentCalc="0"/>
</workbook>
</file>

<file path=xl/calcChain.xml><?xml version="1.0" encoding="utf-8"?>
<calcChain xmlns="http://schemas.openxmlformats.org/spreadsheetml/2006/main">
  <c r="C9" i="6" l="1"/>
  <c r="F26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F49" i="6"/>
  <c r="E49" i="6"/>
  <c r="D49" i="6"/>
  <c r="F48" i="6"/>
  <c r="E48" i="6"/>
  <c r="D48" i="6"/>
  <c r="F47" i="6"/>
  <c r="E47" i="6"/>
  <c r="D47" i="6"/>
  <c r="F46" i="6"/>
  <c r="E46" i="6"/>
  <c r="D46" i="6"/>
  <c r="F45" i="6"/>
  <c r="E45" i="6"/>
  <c r="D45" i="6"/>
  <c r="F44" i="6"/>
  <c r="E44" i="6"/>
  <c r="D44" i="6"/>
  <c r="F43" i="6"/>
  <c r="E43" i="6"/>
  <c r="D43" i="6"/>
  <c r="F42" i="6"/>
  <c r="E42" i="6"/>
  <c r="D42" i="6"/>
  <c r="F41" i="6"/>
  <c r="E41" i="6"/>
  <c r="D41" i="6"/>
  <c r="F40" i="6"/>
  <c r="E40" i="6"/>
  <c r="D40" i="6"/>
  <c r="F39" i="6"/>
  <c r="E39" i="6"/>
  <c r="D39" i="6"/>
  <c r="F38" i="6"/>
  <c r="E38" i="6"/>
  <c r="D38" i="6"/>
  <c r="F37" i="6"/>
  <c r="E37" i="6"/>
  <c r="D37" i="6"/>
  <c r="F36" i="6"/>
  <c r="E36" i="6"/>
  <c r="D36" i="6"/>
  <c r="F35" i="6"/>
  <c r="E35" i="6"/>
  <c r="D35" i="6"/>
  <c r="F34" i="6"/>
  <c r="E34" i="6"/>
  <c r="D34" i="6"/>
  <c r="F33" i="6"/>
  <c r="E33" i="6"/>
  <c r="D33" i="6"/>
  <c r="F32" i="6"/>
  <c r="E32" i="6"/>
  <c r="D32" i="6"/>
  <c r="F31" i="6"/>
  <c r="E31" i="6"/>
  <c r="D31" i="6"/>
  <c r="F30" i="6"/>
  <c r="E30" i="6"/>
  <c r="D30" i="6"/>
  <c r="F29" i="6"/>
  <c r="E29" i="6"/>
  <c r="D29" i="6"/>
  <c r="F28" i="6"/>
  <c r="E28" i="6"/>
  <c r="D28" i="6"/>
  <c r="F27" i="6"/>
  <c r="E27" i="6"/>
  <c r="D27" i="6"/>
  <c r="E26" i="6"/>
  <c r="D26" i="6"/>
  <c r="F25" i="6"/>
  <c r="E25" i="6"/>
  <c r="D25" i="6"/>
  <c r="F24" i="6"/>
  <c r="E24" i="6"/>
  <c r="D24" i="6"/>
  <c r="F23" i="6"/>
  <c r="E23" i="6"/>
  <c r="D23" i="6"/>
  <c r="F22" i="6"/>
  <c r="E22" i="6"/>
  <c r="D22" i="6"/>
  <c r="F21" i="6"/>
  <c r="E21" i="6"/>
  <c r="D21" i="6"/>
  <c r="F20" i="6"/>
  <c r="E20" i="6"/>
  <c r="D20" i="6"/>
  <c r="F19" i="6"/>
  <c r="E19" i="6"/>
  <c r="D19" i="6"/>
  <c r="F18" i="6"/>
  <c r="E18" i="6"/>
  <c r="D18" i="6"/>
  <c r="F17" i="6"/>
  <c r="E17" i="6"/>
  <c r="D17" i="6"/>
  <c r="F16" i="6"/>
  <c r="E16" i="6"/>
  <c r="D16" i="6"/>
  <c r="F15" i="6"/>
  <c r="E15" i="6"/>
  <c r="D15" i="6"/>
  <c r="A25" i="5"/>
  <c r="A24" i="5"/>
  <c r="A23" i="5"/>
  <c r="A22" i="5"/>
  <c r="A21" i="5"/>
  <c r="A20" i="5"/>
  <c r="A19" i="5"/>
  <c r="A18" i="5"/>
  <c r="A17" i="5"/>
  <c r="C9" i="5"/>
  <c r="C13" i="5"/>
  <c r="D25" i="5"/>
  <c r="D24" i="5"/>
  <c r="D23" i="5"/>
  <c r="D22" i="5"/>
  <c r="D21" i="5"/>
  <c r="D20" i="5"/>
  <c r="D19" i="5"/>
  <c r="D18" i="5"/>
  <c r="D17" i="5"/>
  <c r="C16" i="5"/>
  <c r="A16" i="5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C9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E24" i="4"/>
  <c r="D24" i="4"/>
  <c r="H23" i="4"/>
  <c r="G23" i="4"/>
  <c r="F23" i="4"/>
  <c r="E23" i="4"/>
  <c r="D23" i="4"/>
  <c r="H22" i="4"/>
  <c r="G22" i="4"/>
  <c r="F22" i="4"/>
  <c r="E22" i="4"/>
  <c r="D22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C13" i="4"/>
  <c r="A13" i="4"/>
  <c r="F13" i="4"/>
  <c r="C14" i="6"/>
  <c r="J7" i="1"/>
  <c r="K1" i="1"/>
  <c r="J6" i="1"/>
  <c r="D18" i="1"/>
  <c r="D13" i="1"/>
  <c r="J1" i="1"/>
  <c r="J12" i="1"/>
  <c r="C1" i="8"/>
  <c r="E20" i="8"/>
  <c r="D20" i="8"/>
  <c r="C20" i="8"/>
  <c r="E19" i="8"/>
  <c r="D19" i="8"/>
  <c r="C19" i="8"/>
  <c r="E18" i="8"/>
  <c r="D18" i="8"/>
  <c r="C18" i="8"/>
  <c r="E17" i="8"/>
  <c r="D17" i="8"/>
  <c r="C17" i="8"/>
  <c r="E16" i="8"/>
  <c r="D16" i="8"/>
  <c r="C16" i="8"/>
  <c r="E15" i="8"/>
  <c r="D15" i="8"/>
  <c r="C15" i="8"/>
  <c r="E14" i="8"/>
  <c r="D14" i="8"/>
  <c r="C14" i="8"/>
  <c r="E13" i="8"/>
  <c r="D13" i="8"/>
  <c r="C13" i="8"/>
  <c r="E12" i="8"/>
  <c r="D12" i="8"/>
  <c r="C12" i="8"/>
  <c r="E11" i="8"/>
  <c r="D11" i="8"/>
  <c r="C11" i="8"/>
  <c r="E10" i="8"/>
  <c r="D10" i="8"/>
  <c r="C10" i="8"/>
  <c r="E9" i="8"/>
  <c r="D9" i="8"/>
  <c r="C9" i="8"/>
  <c r="E8" i="8"/>
  <c r="D8" i="8"/>
  <c r="C8" i="8"/>
  <c r="E7" i="8"/>
  <c r="D7" i="8"/>
  <c r="C7" i="8"/>
  <c r="E6" i="8"/>
  <c r="D6" i="8"/>
  <c r="C6" i="8"/>
  <c r="D12" i="1"/>
  <c r="J13" i="1"/>
  <c r="D13" i="4"/>
  <c r="F14" i="6"/>
  <c r="E14" i="6"/>
  <c r="D14" i="6"/>
  <c r="A14" i="6"/>
  <c r="A5" i="6"/>
  <c r="A4" i="6"/>
  <c r="A3" i="6"/>
  <c r="A2" i="6"/>
  <c r="D16" i="5"/>
  <c r="A5" i="5"/>
  <c r="A4" i="5"/>
  <c r="A3" i="5"/>
  <c r="A2" i="5"/>
  <c r="E13" i="4"/>
  <c r="A2" i="4"/>
  <c r="A3" i="4"/>
  <c r="A4" i="4"/>
  <c r="A5" i="4"/>
  <c r="G13" i="4"/>
  <c r="H13" i="4"/>
</calcChain>
</file>

<file path=xl/sharedStrings.xml><?xml version="1.0" encoding="utf-8"?>
<sst xmlns="http://schemas.openxmlformats.org/spreadsheetml/2006/main" count="209" uniqueCount="174">
  <si>
    <t>New Version</t>
  </si>
  <si>
    <t>Link to Drivers</t>
  </si>
  <si>
    <t>YesNo</t>
  </si>
  <si>
    <t>Copy a Version</t>
  </si>
  <si>
    <t>Source Version</t>
  </si>
  <si>
    <t>Target Version</t>
  </si>
  <si>
    <t>Set Version Security</t>
  </si>
  <si>
    <t>Version</t>
  </si>
  <si>
    <t>Security Level</t>
  </si>
  <si>
    <t>Read</t>
  </si>
  <si>
    <t>Write</t>
  </si>
  <si>
    <t>ReadWrite</t>
  </si>
  <si>
    <t>Version Administration</t>
  </si>
  <si>
    <t>Zero</t>
  </si>
  <si>
    <t>Budget 2</t>
  </si>
  <si>
    <t>Y</t>
  </si>
  <si>
    <t>N</t>
  </si>
  <si>
    <t>Budget 3</t>
  </si>
  <si>
    <t>Set New Default Version</t>
  </si>
  <si>
    <t>Budget 4</t>
  </si>
  <si>
    <t>Set New Compare Against Version</t>
  </si>
  <si>
    <t>Variance</t>
  </si>
  <si>
    <t>Variance%</t>
  </si>
  <si>
    <t>Explanation</t>
  </si>
  <si>
    <t>Performance Variance</t>
  </si>
  <si>
    <t>Ccy Exchange Variance</t>
  </si>
  <si>
    <t>Dashboard</t>
  </si>
  <si>
    <t>Actual</t>
  </si>
  <si>
    <t>Forecast</t>
  </si>
  <si>
    <t>Target</t>
  </si>
  <si>
    <t>Prior Year Actual</t>
  </si>
  <si>
    <t>Target vs Prior Year Actual</t>
  </si>
  <si>
    <t>Target vs Prior Year Actual %</t>
  </si>
  <si>
    <t>guy1</t>
  </si>
  <si>
    <t>guy2</t>
  </si>
  <si>
    <t>Current Compare Version</t>
  </si>
  <si>
    <t>[Begin Format Range]</t>
  </si>
  <si>
    <t>D</t>
  </si>
  <si>
    <t>[End Format Range]</t>
  </si>
  <si>
    <t>VarianceFactor</t>
  </si>
  <si>
    <t>Caption_Default</t>
  </si>
  <si>
    <t>Version Type</t>
  </si>
  <si>
    <t>System Version</t>
  </si>
  <si>
    <t>Set System version to "Y" to keep on demo reset</t>
  </si>
  <si>
    <t>LinkVersion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</si>
  <si>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</si>
  <si>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</si>
  <si>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</si>
  <si>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</si>
  <si>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</si>
  <si>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</si>
  <si>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</si>
  <si>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</si>
  <si>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</si>
  <si>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New Compare Version</t>
  </si>
  <si>
    <t>Caption_Base</t>
  </si>
  <si>
    <t>Product Total</t>
  </si>
  <si>
    <t>CLINICAL SYSTEM ANALYZERS</t>
  </si>
  <si>
    <t>CLASSIC ANALYZERS</t>
  </si>
  <si>
    <t>B30</t>
  </si>
  <si>
    <t>B31</t>
  </si>
  <si>
    <t>B40</t>
  </si>
  <si>
    <t>B45</t>
  </si>
  <si>
    <t>B60</t>
  </si>
  <si>
    <t>B65</t>
  </si>
  <si>
    <t>B66</t>
  </si>
  <si>
    <t>21008</t>
  </si>
  <si>
    <t>21009</t>
  </si>
  <si>
    <t>21010</t>
  </si>
  <si>
    <t>SPECTRUM ANALYZERS</t>
  </si>
  <si>
    <t>V500</t>
  </si>
  <si>
    <t>V700</t>
  </si>
  <si>
    <t>SEO ANALYZERS</t>
  </si>
  <si>
    <t>L40</t>
  </si>
  <si>
    <t>ALL SYSTEM ANALYSIS PACKS</t>
  </si>
  <si>
    <t>Classic Analysis Packs</t>
  </si>
  <si>
    <t>C-Pack 3ct</t>
  </si>
  <si>
    <t>C-Pack 5ct</t>
  </si>
  <si>
    <t>C-Pack 18ct</t>
  </si>
  <si>
    <t>C-Pack 16ct</t>
  </si>
  <si>
    <t>C-Pack 24ct</t>
  </si>
  <si>
    <t>C-Pack 22ct</t>
  </si>
  <si>
    <t>C-Pack 32ct</t>
  </si>
  <si>
    <t>Spectrum Analysis Packs</t>
  </si>
  <si>
    <t>V-Pack T1 12ct</t>
  </si>
  <si>
    <t>V-Pack T1 16ct</t>
  </si>
  <si>
    <t>V-Pack T2 12ct</t>
  </si>
  <si>
    <t>V-Pack T2 16ct</t>
  </si>
  <si>
    <t>V-Pack T3 12ct</t>
  </si>
  <si>
    <t>Seo Analysis Packs</t>
  </si>
  <si>
    <t>L-Pack 5ct</t>
  </si>
  <si>
    <t>L-Pack 18ct</t>
  </si>
  <si>
    <t>L-Pack 16ct</t>
  </si>
  <si>
    <t>ALL SYSTEM ACCESSORIES</t>
  </si>
  <si>
    <t>Classic Accessories</t>
  </si>
  <si>
    <t>A Other 1</t>
  </si>
  <si>
    <t>A Other 2</t>
  </si>
  <si>
    <t>A Other 3</t>
  </si>
  <si>
    <t>A Other 4</t>
  </si>
  <si>
    <t>A Other 5</t>
  </si>
  <si>
    <t>Spectrum Accessories</t>
  </si>
  <si>
    <t>V Filter</t>
  </si>
  <si>
    <t>V Cartridges</t>
  </si>
  <si>
    <t>V Tower</t>
  </si>
  <si>
    <t>Product Attributes</t>
  </si>
  <si>
    <t>Product default name</t>
  </si>
  <si>
    <t>Product reset name</t>
  </si>
  <si>
    <t>Test 2</t>
  </si>
  <si>
    <t>CUBE:</t>
  </si>
  <si>
    <t>Currency</t>
  </si>
  <si>
    <t>Total Company</t>
  </si>
  <si>
    <t>USD</t>
  </si>
  <si>
    <t>CDN</t>
  </si>
  <si>
    <t>GBP</t>
  </si>
  <si>
    <t>Organization Attributes</t>
  </si>
  <si>
    <t>Rate Variance</t>
  </si>
  <si>
    <t>Volume Variance</t>
  </si>
  <si>
    <t>Predictive</t>
  </si>
  <si>
    <t>Predictivev2</t>
  </si>
  <si>
    <t>Phones</t>
  </si>
  <si>
    <t>3G Smart Phones</t>
  </si>
  <si>
    <t>3G 16Gb</t>
  </si>
  <si>
    <t>3G 32Gb</t>
  </si>
  <si>
    <t>3G 64Gb</t>
  </si>
  <si>
    <t>3G 128Gb</t>
  </si>
  <si>
    <t>4G Smart Phones</t>
  </si>
  <si>
    <t>4G 16Gb</t>
  </si>
  <si>
    <t>4G 32Gb</t>
  </si>
  <si>
    <t>Phone Only</t>
  </si>
  <si>
    <t>PCs</t>
  </si>
  <si>
    <t>Desktops</t>
  </si>
  <si>
    <t>SP 2101</t>
  </si>
  <si>
    <t>SP 2110</t>
  </si>
  <si>
    <t>SP 2150</t>
  </si>
  <si>
    <t>Laptops</t>
  </si>
  <si>
    <t>T 500</t>
  </si>
  <si>
    <t>T 510</t>
  </si>
  <si>
    <t>T 520</t>
  </si>
  <si>
    <t>Gaming</t>
  </si>
  <si>
    <t>XTR 9300</t>
  </si>
  <si>
    <t>XTR 9500</t>
  </si>
  <si>
    <t>XTR 9800</t>
  </si>
  <si>
    <t>Tablets</t>
  </si>
  <si>
    <t>10 Inch Tablets</t>
  </si>
  <si>
    <t>10" 16 Gb</t>
  </si>
  <si>
    <t>10" 32 Gb</t>
  </si>
  <si>
    <t>10" 64 Gb</t>
  </si>
  <si>
    <t>8 Inch Tablets</t>
  </si>
  <si>
    <t>8" 16 Gb</t>
  </si>
  <si>
    <t>8" 32 Gb</t>
  </si>
  <si>
    <t>8" 64 Gb</t>
  </si>
  <si>
    <t>Current Default Version</t>
  </si>
  <si>
    <t>Version Subset</t>
  </si>
  <si>
    <t>guysc1</t>
  </si>
  <si>
    <t>guynew01</t>
  </si>
  <si>
    <t>l</t>
  </si>
  <si>
    <t>Create New Version</t>
  </si>
  <si>
    <t>Version 2</t>
  </si>
  <si>
    <t>DashboardCA</t>
  </si>
  <si>
    <t>100</t>
  </si>
  <si>
    <t>101</t>
  </si>
  <si>
    <t>102</t>
  </si>
  <si>
    <t>103</t>
  </si>
  <si>
    <t>200</t>
  </si>
  <si>
    <t>201</t>
  </si>
  <si>
    <t>300</t>
  </si>
  <si>
    <t>301</t>
  </si>
  <si>
    <t>302</t>
  </si>
  <si>
    <t>400</t>
  </si>
  <si>
    <t>401</t>
  </si>
  <si>
    <t>402</t>
  </si>
  <si>
    <t>403</t>
  </si>
  <si>
    <t>202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</si>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</sst>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 &quot;??_);_(@_)"/>
    <numFmt numFmtId="165" formatCode="_(* #,##0_);_(* \(#,##0\);_(* &quot;-&quot;??_);_(@_)"/>
    <numFmt numFmtId="166" formatCode="&quot;- &quot;@"/>
  </numFmts>
  <fonts count="1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</font>
    <font>
      <b/>
      <sz val="9"/>
      <color theme="0" tint="-0.34998626667073579"/>
      <name val="Arial"/>
      <family val="2"/>
    </font>
    <font>
      <sz val="9"/>
      <color theme="0" tint="-0.3499862666707357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465926084170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14996795556505021"/>
      </right>
      <top/>
      <bottom style="thick">
        <color theme="3" tint="-0.24994659260841701"/>
      </bottom>
      <diagonal/>
    </border>
    <border>
      <left/>
      <right/>
      <top/>
      <bottom style="thick">
        <color theme="3" tint="-0.24994659260841701"/>
      </bottom>
      <diagonal/>
    </border>
    <border>
      <left/>
      <right/>
      <top style="thick">
        <color theme="3" tint="-0.24994659260841701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/>
  </cellStyleXfs>
  <cellXfs count="65">
    <xf numFmtId="0" fontId="0" fillId="0" borderId="0" xfId="0"/>
    <xf numFmtId="0" fontId="1" fillId="0" borderId="0" xfId="0" applyFont="1"/>
    <xf numFmtId="0" fontId="8" fillId="0" borderId="0" xfId="0" applyFont="1"/>
    <xf numFmtId="0" fontId="6" fillId="0" borderId="0" xfId="0" applyFont="1" applyFill="1" applyBorder="1" applyAlignment="1">
      <alignment vertical="center"/>
    </xf>
    <xf numFmtId="0" fontId="8" fillId="0" borderId="0" xfId="0" applyFont="1" applyBorder="1"/>
    <xf numFmtId="0" fontId="6" fillId="0" borderId="0" xfId="2" applyFont="1"/>
    <xf numFmtId="0" fontId="8" fillId="0" borderId="0" xfId="0" applyFont="1" applyFill="1" applyBorder="1"/>
    <xf numFmtId="49" fontId="6" fillId="0" borderId="0" xfId="0" applyNumberFormat="1" applyFont="1" applyFill="1" applyBorder="1" applyAlignment="1">
      <alignment horizontal="left"/>
    </xf>
    <xf numFmtId="165" fontId="6" fillId="0" borderId="0" xfId="1" applyNumberFormat="1" applyFont="1" applyFill="1" applyBorder="1"/>
    <xf numFmtId="165" fontId="6" fillId="0" borderId="0" xfId="1" applyNumberFormat="1" applyFont="1" applyFill="1" applyBorder="1" applyAlignment="1">
      <alignment horizontal="center"/>
    </xf>
    <xf numFmtId="166" fontId="9" fillId="0" borderId="0" xfId="0" applyNumberFormat="1" applyFont="1" applyFill="1" applyBorder="1" applyAlignment="1">
      <alignment horizontal="left"/>
    </xf>
    <xf numFmtId="0" fontId="10" fillId="3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1" fillId="3" borderId="0" xfId="0" applyFont="1" applyFill="1" applyBorder="1"/>
    <xf numFmtId="0" fontId="0" fillId="0" borderId="0" xfId="0" applyAlignment="1"/>
    <xf numFmtId="0" fontId="5" fillId="2" borderId="0" xfId="0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11" fillId="0" borderId="0" xfId="0" applyFont="1" applyFill="1" applyBorder="1"/>
    <xf numFmtId="49" fontId="9" fillId="0" borderId="0" xfId="0" applyNumberFormat="1" applyFont="1" applyFill="1" applyBorder="1" applyAlignment="1">
      <alignment horizontal="left" indent="1"/>
    </xf>
    <xf numFmtId="49" fontId="6" fillId="0" borderId="0" xfId="0" applyNumberFormat="1" applyFont="1" applyFill="1" applyBorder="1" applyAlignment="1">
      <alignment horizontal="left" indent="1"/>
    </xf>
    <xf numFmtId="49" fontId="9" fillId="0" borderId="3" xfId="0" applyNumberFormat="1" applyFont="1" applyFill="1" applyBorder="1" applyAlignment="1">
      <alignment horizontal="center" vertical="center"/>
    </xf>
    <xf numFmtId="165" fontId="6" fillId="0" borderId="0" xfId="1" applyNumberFormat="1" applyFont="1" applyFill="1" applyBorder="1" applyAlignment="1">
      <alignment vertical="center"/>
    </xf>
    <xf numFmtId="165" fontId="6" fillId="0" borderId="0" xfId="1" applyNumberFormat="1" applyFont="1" applyFill="1" applyBorder="1" applyAlignment="1">
      <alignment horizontal="center" vertical="center"/>
    </xf>
    <xf numFmtId="0" fontId="6" fillId="0" borderId="0" xfId="2" applyFont="1" applyAlignment="1">
      <alignment horizontal="center"/>
    </xf>
    <xf numFmtId="165" fontId="6" fillId="0" borderId="0" xfId="1" applyNumberFormat="1" applyFont="1" applyFill="1" applyBorder="1" applyAlignment="1">
      <alignment horizontal="left" vertical="center"/>
    </xf>
    <xf numFmtId="164" fontId="9" fillId="0" borderId="0" xfId="1" applyNumberFormat="1" applyFont="1" applyFill="1" applyBorder="1"/>
    <xf numFmtId="164" fontId="9" fillId="0" borderId="0" xfId="1" applyNumberFormat="1" applyFont="1" applyFill="1" applyBorder="1" applyAlignment="1">
      <alignment horizontal="left" vertical="center"/>
    </xf>
    <xf numFmtId="164" fontId="9" fillId="0" borderId="0" xfId="1" applyNumberFormat="1" applyFont="1" applyFill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left" indent="1"/>
    </xf>
    <xf numFmtId="165" fontId="6" fillId="2" borderId="0" xfId="1" applyNumberFormat="1" applyFont="1" applyFill="1" applyBorder="1"/>
    <xf numFmtId="165" fontId="6" fillId="2" borderId="0" xfId="1" applyNumberFormat="1" applyFont="1" applyFill="1" applyBorder="1" applyAlignment="1">
      <alignment horizontal="left" vertical="center"/>
    </xf>
    <xf numFmtId="165" fontId="6" fillId="2" borderId="0" xfId="1" applyNumberFormat="1" applyFont="1" applyFill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left"/>
    </xf>
    <xf numFmtId="0" fontId="9" fillId="0" borderId="4" xfId="2" applyFont="1" applyFill="1" applyBorder="1"/>
    <xf numFmtId="0" fontId="7" fillId="0" borderId="1" xfId="0" applyFont="1" applyFill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49" fontId="9" fillId="2" borderId="2" xfId="0" applyNumberFormat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vertical="center"/>
    </xf>
    <xf numFmtId="0" fontId="9" fillId="0" borderId="4" xfId="0" applyNumberFormat="1" applyFont="1" applyFill="1" applyBorder="1" applyAlignment="1" applyProtection="1">
      <alignment horizontal="center" vertical="center"/>
    </xf>
    <xf numFmtId="164" fontId="9" fillId="0" borderId="0" xfId="1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vertical="center"/>
    </xf>
    <xf numFmtId="49" fontId="13" fillId="2" borderId="0" xfId="0" applyNumberFormat="1" applyFont="1" applyFill="1" applyBorder="1" applyAlignment="1">
      <alignment horizontal="center" vertical="center"/>
    </xf>
    <xf numFmtId="166" fontId="9" fillId="0" borderId="5" xfId="0" applyNumberFormat="1" applyFont="1" applyFill="1" applyBorder="1" applyAlignment="1">
      <alignment horizontal="left" indent="1"/>
    </xf>
    <xf numFmtId="166" fontId="9" fillId="0" borderId="0" xfId="0" applyNumberFormat="1" applyFont="1" applyFill="1" applyBorder="1" applyAlignment="1">
      <alignment horizontal="left" indent="2"/>
    </xf>
    <xf numFmtId="49" fontId="6" fillId="0" borderId="0" xfId="0" applyNumberFormat="1" applyFont="1" applyFill="1" applyBorder="1" applyAlignment="1">
      <alignment horizontal="left" indent="3"/>
    </xf>
    <xf numFmtId="0" fontId="9" fillId="0" borderId="0" xfId="0" applyNumberFormat="1" applyFont="1" applyFill="1" applyBorder="1" applyAlignment="1" applyProtection="1">
      <alignment horizontal="center" vertical="center"/>
    </xf>
    <xf numFmtId="49" fontId="9" fillId="0" borderId="4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left" indent="4"/>
    </xf>
    <xf numFmtId="164" fontId="9" fillId="0" borderId="5" xfId="1" applyNumberFormat="1" applyFont="1" applyFill="1" applyBorder="1" applyAlignment="1">
      <alignment horizontal="center"/>
    </xf>
    <xf numFmtId="164" fontId="9" fillId="0" borderId="5" xfId="1" applyNumberFormat="1" applyFont="1" applyFill="1" applyBorder="1"/>
    <xf numFmtId="164" fontId="9" fillId="0" borderId="0" xfId="1" applyNumberFormat="1" applyFont="1" applyFill="1" applyBorder="1" applyAlignment="1">
      <alignment horizontal="center"/>
    </xf>
    <xf numFmtId="166" fontId="9" fillId="0" borderId="6" xfId="0" applyNumberFormat="1" applyFont="1" applyFill="1" applyBorder="1" applyAlignment="1">
      <alignment horizontal="left" indent="2"/>
    </xf>
    <xf numFmtId="164" fontId="9" fillId="0" borderId="6" xfId="1" applyNumberFormat="1" applyFont="1" applyFill="1" applyBorder="1" applyAlignment="1">
      <alignment horizontal="center"/>
    </xf>
    <xf numFmtId="164" fontId="9" fillId="0" borderId="6" xfId="1" applyNumberFormat="1" applyFont="1" applyFill="1" applyBorder="1"/>
    <xf numFmtId="165" fontId="6" fillId="0" borderId="6" xfId="1" applyNumberFormat="1" applyFont="1" applyFill="1" applyBorder="1" applyAlignment="1">
      <alignment horizontal="center"/>
    </xf>
    <xf numFmtId="165" fontId="6" fillId="0" borderId="6" xfId="1" applyNumberFormat="1" applyFont="1" applyFill="1" applyBorder="1"/>
    <xf numFmtId="0" fontId="9" fillId="0" borderId="0" xfId="2" applyFont="1" applyFill="1" applyBorder="1" applyAlignment="1">
      <alignment horizontal="center" vertical="center" wrapText="1"/>
    </xf>
    <xf numFmtId="0" fontId="9" fillId="0" borderId="4" xfId="0" applyNumberFormat="1" applyFont="1" applyFill="1" applyBorder="1" applyAlignment="1" applyProtection="1">
      <alignment horizontal="center" vertical="center" wrapText="1"/>
    </xf>
    <xf numFmtId="49" fontId="9" fillId="0" borderId="6" xfId="0" applyNumberFormat="1" applyFont="1" applyFill="1" applyBorder="1" applyAlignment="1">
      <alignment horizontal="left" indent="1"/>
    </xf>
    <xf numFmtId="166" fontId="9" fillId="0" borderId="6" xfId="0" applyNumberFormat="1" applyFont="1" applyFill="1" applyBorder="1" applyAlignment="1">
      <alignment horizontal="left" indent="1"/>
    </xf>
  </cellXfs>
  <cellStyles count="3">
    <cellStyle name="Comma" xfId="1" builtinId="3"/>
    <cellStyle name="Normal" xfId="0" builtinId="0"/>
    <cellStyle name="Normal_Sheet1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A589C"/>
      <rgbColor rgb="00888FAC"/>
      <rgbColor rgb="000000FF"/>
      <rgbColor rgb="00830E17"/>
      <rgbColor rgb="00CDB79E"/>
      <rgbColor rgb="0095B3D7"/>
      <rgbColor rgb="00800000"/>
      <rgbColor rgb="000F3F6A"/>
      <rgbColor rgb="00000080"/>
      <rgbColor rgb="00808000"/>
      <rgbColor rgb="00800080"/>
      <rgbColor rgb="00DBE5F1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8F8F8"/>
      <rgbColor rgb="00B7D2EC"/>
      <rgbColor rgb="00E7E5E5"/>
      <rgbColor rgb="003366FF"/>
      <rgbColor rgb="00B8CCE4"/>
      <rgbColor rgb="00E5E5E5"/>
      <rgbColor rgb="00B6DDF1"/>
      <rgbColor rgb="0099AACC"/>
      <rgbColor rgb="00E56565"/>
      <rgbColor rgb="00666699"/>
      <rgbColor rgb="00969696"/>
      <rgbColor rgb="0039CF08"/>
      <rgbColor rgb="00FFFAFA"/>
      <rgbColor rgb="00D6595A"/>
      <rgbColor rgb="00DAD8D8"/>
      <rgbColor rgb="00993300"/>
      <rgbColor rgb="00DFEEF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34"/>
  <ax:ocxPr ax:name="_ExtentY" ax:value="1164"/>
  <ax:ocxPr ax:name="_StockProps" ax:value="0"/>
  <ax:ocxPr ax:name="ServerName" ax:value="smartco"/>
  <ax:ocxPr ax:name="ProcessName" ax:value="set_compare_version"/>
  <ax:ocxPr ax:name="Name" ax:value="pCompareVersion"/>
  <ax:ocxPr ax:name="Type" ax:value="0"/>
  <ax:ocxPr ax:name="Value" ax:value="=pCompareVersion"/>
  <ax:ocxPr ax:name="Prompt" ax:value=""/>
  <ax:ocxPr ax:name="BackColor" ax:value="16777215"/>
  <ax:ocxPr ax:name="ForeColor" ax:value="0"/>
  <ax:ocxPr ax:name="Font">
    <ax:font ax:persistence="persistPropertyBag">
      <ax:ocxPr ax:name="Name" ax:value="Arial"/>
      <ax:ocxPr ax:name="Size" ax:value="9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Set Compare Version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set the compare version.  Continue?"/>
  <ax:ocxPr ax:name="SuccessMessage" ax:value="Compare version set successfully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49"/>
  <ax:ocxPr ax:name="_ExtentY" ax:value="1164"/>
  <ax:ocxPr ax:name="_StockProps" ax:value="0"/>
  <ax:ocxPr ax:name="ServerName" ax:value="smartco"/>
  <ax:ocxPr ax:name="ProcessName" ax:value="set_default_version"/>
  <ax:ocxPr ax:name="Name" ax:value="pDefaultVersion"/>
  <ax:ocxPr ax:name="Type" ax:value="0"/>
  <ax:ocxPr ax:name="Value" ax:value="=pDefaultVersion"/>
  <ax:ocxPr ax:name="Prompt" ax:value=""/>
  <ax:ocxPr ax:name="BackColor" ax:value="16777215"/>
  <ax:ocxPr ax:name="ForeColor" ax:value="0"/>
  <ax:ocxPr ax:name="Font">
    <ax:font ax:persistence="persistPropertyBag">
      <ax:ocxPr ax:name="Name" ax:value="Arial"/>
      <ax:ocxPr ax:name="Size" ax:value="9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Set Default Version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set the default version.  Continue?"/>
  <ax:ocxPr ax:name="SuccessMessage" ax:value="Default version set successfully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60"/>
  <ax:ocxPr ax:name="_ExtentY" ax:value="661"/>
  <ax:ocxPr ax:name="_StockProps" ax:value="0"/>
  <ax:ocxPr ax:name="ServerName" ax:value="smartco"/>
  <ax:ocxPr ax:name="ProcessName" ax:value="reset_demo"/>
  <ax:ocxPr ax:name="Name" ax:value="pZeroTarget"/>
  <ax:ocxPr ax:name="Type" ax:value="0"/>
  <ax:ocxPr ax:name="Value" ax:value=""/>
  <ax:ocxPr ax:name="Prompt" ax:value=""/>
  <ax:ocxPr ax:name="BackColor" ax:value="6043158"/>
  <ax:ocxPr ax:name="ForeColor" ax:value="16777215"/>
  <ax:ocxPr ax:name="Font">
    <ax:font ax:persistence="persistPropertyBag">
      <ax:ocxPr ax:name="Name" ax:value="Arial Narrow"/>
      <ax:ocxPr ax:name="Size" ax:value="9.7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Rese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reset the demo.  Continue?"/>
  <ax:ocxPr ax:name="SuccessMessage" ax:value="Demo reset complete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1"/>
  <ax:ocxPr ax:name="DoNavigate" ax:value="0"/>
  <ax:ocxPr ax:name="UseApporg" ax:value="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7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678"/>
  <ax:ocxPr ax:name="_ExtentY" ax:value="661"/>
  <ax:ocxPr ax:name="_StockProps" ax:value="0"/>
  <ax:ocxPr ax:name="ServerName" ax:value="smartco"/>
  <ax:ocxPr ax:name="ProcessName" ax:value="reset_demo"/>
  <ax:ocxPr ax:name="Name" ax:value="pZeroTarget"/>
  <ax:ocxPr ax:name="Type" ax:value="0"/>
  <ax:ocxPr ax:name="Value" ax:value="Y"/>
  <ax:ocxPr ax:name="Prompt" ax:value=""/>
  <ax:ocxPr ax:name="BackColor" ax:value="6043158"/>
  <ax:ocxPr ax:name="ForeColor" ax:value="16777215"/>
  <ax:ocxPr ax:name="Font">
    <ax:font ax:persistence="persistPropertyBag">
      <ax:ocxPr ax:name="Name" ax:value="Arial Narrow"/>
      <ax:ocxPr ax:name="Size" ax:value="9.7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Reset w/Zero Tg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reset the demo and zero target data.  Continue?"/>
  <ax:ocxPr ax:name="SuccessMessage" ax:value="Demo reset complete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1"/>
  <ax:ocxPr ax:name="DoNavigate" ax:value="0"/>
  <ax:ocxPr ax:name="UseApporg" ax:value="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8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07"/>
  <ax:ocxPr ax:name="_ExtentY" ax:value="635"/>
  <ax:ocxPr ax:name="_StockProps" ax:value="0"/>
  <ax:ocxPr ax:name="ServerName" ax:value="smartco"/>
  <ax:ocxPr ax:name="ProcessName" ax:value="create_default_subset"/>
  <ax:ocxPr ax:name="Name" ax:value="pSubsetName"/>
  <ax:ocxPr ax:name="Type" ax:value="0"/>
  <ax:ocxPr ax:name="Value" ax:value="=pSubsetName"/>
  <ax:ocxPr ax:name="Prompt" ax:value=""/>
  <ax:ocxPr ax:name="BackColor" ax:value="6043158"/>
  <ax:ocxPr ax:name="ForeColor" ax:value="16777215"/>
  <ax:ocxPr ax:name="Font">
    <ax:font ax:persistence="persistPropertyBag">
      <ax:ocxPr ax:name="Name" ax:value="Arial"/>
      <ax:ocxPr ax:name="Size" ax:value="9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Update Subse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update the selected subset.  Continue?"/>
  <ax:ocxPr ax:name="SuccessMessage" ax:value="Demo reset complete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1"/>
  <ax:ocxPr ax:name="DoNavigate" ax:value="0"/>
  <ax:ocxPr ax:name="UseApporg" ax:value="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7</xdr:row>
          <xdr:rowOff>66675</xdr:rowOff>
        </xdr:from>
        <xdr:to>
          <xdr:col>4</xdr:col>
          <xdr:colOff>552450</xdr:colOff>
          <xdr:row>9</xdr:row>
          <xdr:rowOff>66675</xdr:rowOff>
        </xdr:to>
        <xdr:sp macro="" textlink="">
          <xdr:nvSpPr>
            <xdr:cNvPr id="1026" name="TI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13</xdr:row>
          <xdr:rowOff>76200</xdr:rowOff>
        </xdr:from>
        <xdr:to>
          <xdr:col>4</xdr:col>
          <xdr:colOff>552450</xdr:colOff>
          <xdr:row>15</xdr:row>
          <xdr:rowOff>76200</xdr:rowOff>
        </xdr:to>
        <xdr:sp macro="" textlink="">
          <xdr:nvSpPr>
            <xdr:cNvPr id="1029" name="TI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19</xdr:row>
          <xdr:rowOff>76200</xdr:rowOff>
        </xdr:from>
        <xdr:to>
          <xdr:col>4</xdr:col>
          <xdr:colOff>552450</xdr:colOff>
          <xdr:row>21</xdr:row>
          <xdr:rowOff>76200</xdr:rowOff>
        </xdr:to>
        <xdr:sp macro="" textlink="">
          <xdr:nvSpPr>
            <xdr:cNvPr id="1031" name="TIButton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7</xdr:row>
          <xdr:rowOff>57150</xdr:rowOff>
        </xdr:from>
        <xdr:to>
          <xdr:col>10</xdr:col>
          <xdr:colOff>571500</xdr:colOff>
          <xdr:row>9</xdr:row>
          <xdr:rowOff>57150</xdr:rowOff>
        </xdr:to>
        <xdr:sp macro="" textlink="">
          <xdr:nvSpPr>
            <xdr:cNvPr id="1034" name="TIButton4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13</xdr:row>
          <xdr:rowOff>66675</xdr:rowOff>
        </xdr:from>
        <xdr:to>
          <xdr:col>10</xdr:col>
          <xdr:colOff>609600</xdr:colOff>
          <xdr:row>15</xdr:row>
          <xdr:rowOff>66675</xdr:rowOff>
        </xdr:to>
        <xdr:sp macro="" textlink="">
          <xdr:nvSpPr>
            <xdr:cNvPr id="1035" name="TIButton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676276</xdr:colOff>
          <xdr:row>9</xdr:row>
          <xdr:rowOff>28575</xdr:rowOff>
        </xdr:from>
        <xdr:to>
          <xdr:col>7</xdr:col>
          <xdr:colOff>952500</xdr:colOff>
          <xdr:row>9</xdr:row>
          <xdr:rowOff>266700</xdr:rowOff>
        </xdr:to>
        <xdr:sp macro="" textlink="">
          <xdr:nvSpPr>
            <xdr:cNvPr id="3074" name="TI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9</xdr:row>
          <xdr:rowOff>38100</xdr:rowOff>
        </xdr:from>
        <xdr:to>
          <xdr:col>6</xdr:col>
          <xdr:colOff>600075</xdr:colOff>
          <xdr:row>9</xdr:row>
          <xdr:rowOff>276225</xdr:rowOff>
        </xdr:to>
        <xdr:sp macro="" textlink="">
          <xdr:nvSpPr>
            <xdr:cNvPr id="3075" name="TI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923925</xdr:colOff>
          <xdr:row>9</xdr:row>
          <xdr:rowOff>47625</xdr:rowOff>
        </xdr:from>
        <xdr:to>
          <xdr:col>4</xdr:col>
          <xdr:colOff>571500</xdr:colOff>
          <xdr:row>9</xdr:row>
          <xdr:rowOff>276225</xdr:rowOff>
        </xdr:to>
        <xdr:sp macro="" textlink="">
          <xdr:nvSpPr>
            <xdr:cNvPr id="5121" name="TI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2"/>
  <sheetViews>
    <sheetView showGridLines="0" tabSelected="1" topLeftCell="A3" workbookViewId="0">
      <selection activeCell="B26" sqref="B26"/>
    </sheetView>
  </sheetViews>
  <sheetFormatPr defaultRowHeight="12" x14ac:dyDescent="0.2"/>
  <cols>
    <col min="1" max="1" width="2" style="2" customWidth="1"/>
    <col min="2" max="4" width="11.7109375" style="2" customWidth="1"/>
    <col min="5" max="5" width="11.85546875" style="2" customWidth="1"/>
    <col min="6" max="6" width="1.7109375" style="2" customWidth="1"/>
    <col min="7" max="7" width="9.140625" style="2"/>
    <col min="8" max="8" width="11.7109375" style="2" customWidth="1"/>
    <col min="9" max="9" width="17" style="2" customWidth="1"/>
    <col min="10" max="11" width="11.7109375" style="2" customWidth="1"/>
    <col min="12" max="16384" width="9.140625" style="2"/>
  </cols>
  <sheetData>
    <row r="1" spans="1:11" hidden="1" x14ac:dyDescent="0.2">
      <c r="J1" s="2" t="str">
        <f ca="1">_xll.DBRW("smartco:calendar","Compare Against","String")</f>
        <v>Actual</v>
      </c>
      <c r="K1" s="2" t="str">
        <f ca="1">_xll.DBRW("smartco:calendar","Current Version","String")</f>
        <v>guysc1</v>
      </c>
    </row>
    <row r="2" spans="1:11" ht="7.5" hidden="1" customHeight="1" x14ac:dyDescent="0.2"/>
    <row r="3" spans="1:11" ht="21" customHeight="1" x14ac:dyDescent="0.25">
      <c r="A3" s="3"/>
      <c r="B3" s="11" t="s">
        <v>12</v>
      </c>
      <c r="C3" s="12"/>
      <c r="D3" s="14"/>
      <c r="E3" s="13"/>
      <c r="F3" s="13"/>
      <c r="G3" s="13"/>
      <c r="H3" s="13"/>
      <c r="I3" s="13"/>
      <c r="J3" s="13"/>
      <c r="K3" s="13"/>
    </row>
    <row r="4" spans="1:11" ht="3.75" customHeight="1" x14ac:dyDescent="0.2"/>
    <row r="5" spans="1:11" x14ac:dyDescent="0.2">
      <c r="B5" s="15" t="s">
        <v>156</v>
      </c>
      <c r="C5" s="15"/>
      <c r="D5" s="15"/>
      <c r="E5" s="15"/>
      <c r="F5" s="4"/>
      <c r="G5" s="4"/>
      <c r="H5" s="15" t="s">
        <v>18</v>
      </c>
      <c r="I5" s="15"/>
      <c r="J5" s="15"/>
      <c r="K5" s="15"/>
    </row>
    <row r="6" spans="1:11" ht="16.5" customHeight="1" x14ac:dyDescent="0.2">
      <c r="B6" s="16" t="s">
        <v>0</v>
      </c>
      <c r="C6" s="16"/>
      <c r="D6" s="17" t="s">
        <v>107</v>
      </c>
      <c r="E6" s="17"/>
      <c r="F6" s="6"/>
      <c r="G6" s="6"/>
      <c r="H6" s="16" t="s">
        <v>151</v>
      </c>
      <c r="I6" s="16"/>
      <c r="J6" s="18" t="str">
        <f ca="1">_xll.DBRA("smartco:Version",$K$1,"Caption_Default")</f>
        <v>guysc1</v>
      </c>
      <c r="K6" s="18"/>
    </row>
    <row r="7" spans="1:11" ht="16.5" customHeight="1" x14ac:dyDescent="0.2">
      <c r="B7" s="16" t="s">
        <v>1</v>
      </c>
      <c r="C7" s="16"/>
      <c r="D7" s="17" t="s">
        <v>15</v>
      </c>
      <c r="E7" s="17"/>
      <c r="F7" s="6"/>
      <c r="G7" s="6"/>
      <c r="H7" s="16" t="s">
        <v>7</v>
      </c>
      <c r="I7" s="16"/>
      <c r="J7" s="17" t="str">
        <f ca="1">_xll.SUBNM("smartco:Version","All Members",1,"Caption_Default")</f>
        <v>Budget</v>
      </c>
      <c r="K7" s="17"/>
    </row>
    <row r="8" spans="1:11" ht="16.5" customHeight="1" x14ac:dyDescent="0.2"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s="4" customFormat="1" ht="16.5" customHeight="1" x14ac:dyDescent="0.2">
      <c r="A9" s="2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ht="16.5" customHeight="1" x14ac:dyDescent="0.2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ht="16.5" customHeight="1" x14ac:dyDescent="0.2">
      <c r="B11" s="15" t="s">
        <v>3</v>
      </c>
      <c r="C11" s="15"/>
      <c r="D11" s="15"/>
      <c r="E11" s="15"/>
      <c r="F11" s="4"/>
      <c r="G11" s="4"/>
      <c r="H11" s="15" t="s">
        <v>20</v>
      </c>
      <c r="I11" s="15"/>
      <c r="J11" s="15"/>
      <c r="K11" s="15"/>
    </row>
    <row r="12" spans="1:11" ht="16.5" customHeight="1" x14ac:dyDescent="0.2">
      <c r="B12" s="16" t="s">
        <v>4</v>
      </c>
      <c r="C12" s="16"/>
      <c r="D12" s="17" t="str">
        <f ca="1">_xll.SUBNM("smartco:Version","All Members",1,"Caption_Default")</f>
        <v>Budget</v>
      </c>
      <c r="E12" s="17"/>
      <c r="F12" s="6"/>
      <c r="G12" s="6"/>
      <c r="H12" s="16" t="s">
        <v>35</v>
      </c>
      <c r="I12" s="16"/>
      <c r="J12" s="18" t="str">
        <f ca="1">_xll.DBRA("smartco:Version",$J$1,"Caption_Default")</f>
        <v>Actual</v>
      </c>
      <c r="K12" s="18"/>
    </row>
    <row r="13" spans="1:11" ht="16.5" customHeight="1" x14ac:dyDescent="0.2">
      <c r="B13" s="16" t="s">
        <v>5</v>
      </c>
      <c r="C13" s="16"/>
      <c r="D13" s="17" t="str">
        <f ca="1">_xll.SUBNM("smartco:Version","All Members",$J$6,"Caption_Default")</f>
        <v>guysc1</v>
      </c>
      <c r="E13" s="17"/>
      <c r="F13" s="6"/>
      <c r="G13" s="6"/>
      <c r="H13" s="16" t="s">
        <v>54</v>
      </c>
      <c r="I13" s="16"/>
      <c r="J13" s="17" t="str">
        <f ca="1">_xll.SUBNM("smartco:Version","All Members",2,"Caption_Default")</f>
        <v>Budget V2</v>
      </c>
      <c r="K13" s="17"/>
    </row>
    <row r="14" spans="1:11" ht="16.5" customHeight="1" x14ac:dyDescent="0.2">
      <c r="B14" s="19"/>
      <c r="C14" s="19"/>
      <c r="D14" s="19"/>
      <c r="E14" s="19"/>
      <c r="F14" s="6"/>
      <c r="G14" s="6"/>
      <c r="H14" s="6"/>
      <c r="I14" s="6"/>
      <c r="J14" s="6"/>
      <c r="K14" s="6"/>
    </row>
    <row r="15" spans="1:11" ht="16.5" customHeight="1" x14ac:dyDescent="0.2">
      <c r="B15" s="19"/>
      <c r="C15" s="19"/>
      <c r="D15" s="19"/>
      <c r="E15" s="19"/>
      <c r="F15" s="6"/>
      <c r="G15" s="6"/>
      <c r="H15" s="6"/>
      <c r="I15" s="6"/>
      <c r="J15" s="6"/>
      <c r="K15" s="6"/>
    </row>
    <row r="16" spans="1:11" ht="16.5" customHeight="1" x14ac:dyDescent="0.2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16.5" customHeight="1" x14ac:dyDescent="0.2">
      <c r="B17" s="15" t="s">
        <v>6</v>
      </c>
      <c r="C17" s="15"/>
      <c r="D17" s="15"/>
      <c r="E17" s="15"/>
      <c r="F17" s="4"/>
      <c r="G17" s="4"/>
      <c r="H17" s="4"/>
      <c r="I17" s="4"/>
      <c r="J17" s="4"/>
      <c r="K17" s="4"/>
    </row>
    <row r="18" spans="2:11" ht="16.5" customHeight="1" x14ac:dyDescent="0.2">
      <c r="B18" s="16" t="s">
        <v>7</v>
      </c>
      <c r="C18" s="16"/>
      <c r="D18" s="17" t="str">
        <f ca="1">_xll.SUBNM("smartco:Version","All Members",$J$6,"Caption_Default")</f>
        <v>guysc1</v>
      </c>
      <c r="E18" s="17"/>
      <c r="F18" s="6"/>
      <c r="G18" s="6"/>
      <c r="H18" s="6"/>
      <c r="I18" s="6"/>
      <c r="J18" s="6"/>
      <c r="K18" s="4"/>
    </row>
    <row r="19" spans="2:11" ht="16.5" customHeight="1" x14ac:dyDescent="0.2">
      <c r="B19" s="16" t="s">
        <v>8</v>
      </c>
      <c r="C19" s="16"/>
      <c r="D19" s="17" t="s">
        <v>9</v>
      </c>
      <c r="E19" s="17"/>
      <c r="F19" s="6"/>
      <c r="G19" s="6"/>
      <c r="H19" s="6"/>
      <c r="I19" s="6"/>
      <c r="J19" s="6"/>
      <c r="K19" s="4"/>
    </row>
    <row r="20" spans="2:11" ht="16.5" customHeight="1" x14ac:dyDescent="0.2">
      <c r="B20" s="19"/>
      <c r="C20" s="19"/>
      <c r="D20" s="19"/>
      <c r="E20" s="19"/>
      <c r="F20" s="6"/>
      <c r="G20" s="6"/>
      <c r="H20" s="6"/>
      <c r="I20" s="6"/>
      <c r="J20" s="6"/>
      <c r="K20" s="4"/>
    </row>
    <row r="21" spans="2:11" ht="16.5" customHeight="1" x14ac:dyDescent="0.2">
      <c r="B21" s="19"/>
      <c r="C21" s="19"/>
      <c r="D21" s="19"/>
      <c r="E21" s="19"/>
      <c r="F21" s="6"/>
      <c r="G21" s="6"/>
      <c r="H21" s="6"/>
      <c r="I21" s="6"/>
      <c r="J21" s="6"/>
      <c r="K21" s="4"/>
    </row>
    <row r="22" spans="2:11" x14ac:dyDescent="0.2">
      <c r="B22" s="4"/>
      <c r="C22" s="4"/>
      <c r="D22" s="4"/>
      <c r="E22" s="4"/>
      <c r="F22" s="4"/>
      <c r="G22" s="4"/>
      <c r="H22" s="4"/>
      <c r="I22" s="4"/>
      <c r="J22" s="4"/>
      <c r="K22" s="4"/>
    </row>
  </sheetData>
  <mergeCells count="26">
    <mergeCell ref="J13:K13"/>
    <mergeCell ref="B12:C12"/>
    <mergeCell ref="D12:E12"/>
    <mergeCell ref="B11:E11"/>
    <mergeCell ref="B13:C13"/>
    <mergeCell ref="D13:E13"/>
    <mergeCell ref="H12:I12"/>
    <mergeCell ref="J12:K12"/>
    <mergeCell ref="B19:C19"/>
    <mergeCell ref="D19:E19"/>
    <mergeCell ref="H7:I7"/>
    <mergeCell ref="H13:I13"/>
    <mergeCell ref="B17:E17"/>
    <mergeCell ref="B18:C18"/>
    <mergeCell ref="D18:E18"/>
    <mergeCell ref="B7:C7"/>
    <mergeCell ref="B3:D3"/>
    <mergeCell ref="D7:E7"/>
    <mergeCell ref="H5:K5"/>
    <mergeCell ref="H11:K11"/>
    <mergeCell ref="J7:K7"/>
    <mergeCell ref="B5:E5"/>
    <mergeCell ref="J6:K6"/>
    <mergeCell ref="H6:I6"/>
    <mergeCell ref="B6:C6"/>
    <mergeCell ref="D6:E6"/>
  </mergeCells>
  <phoneticPr fontId="3" type="noConversion"/>
  <dataValidations count="2">
    <dataValidation type="list" allowBlank="1" showInputMessage="1" showErrorMessage="1" sqref="D7:E7">
      <formula1>YesNo</formula1>
    </dataValidation>
    <dataValidation type="list" allowBlank="1" showInputMessage="1" showErrorMessage="1" sqref="D19:E19">
      <formula1>ReadWrite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TIButton5">
          <controlPr defaultSize="0" print="0" autoLine="0" r:id="rId5">
            <anchor moveWithCells="1">
              <from>
                <xdr:col>9</xdr:col>
                <xdr:colOff>190500</xdr:colOff>
                <xdr:row>13</xdr:row>
                <xdr:rowOff>66675</xdr:rowOff>
              </from>
              <to>
                <xdr:col>10</xdr:col>
                <xdr:colOff>609600</xdr:colOff>
                <xdr:row>15</xdr:row>
                <xdr:rowOff>66675</xdr:rowOff>
              </to>
            </anchor>
          </controlPr>
        </control>
      </mc:Choice>
      <mc:Fallback>
        <control shapeId="1035" r:id="rId4" name="TIButton5"/>
      </mc:Fallback>
    </mc:AlternateContent>
    <mc:AlternateContent xmlns:mc="http://schemas.openxmlformats.org/markup-compatibility/2006">
      <mc:Choice Requires="x14">
        <control shapeId="1034" r:id="rId6" name="TIButton4">
          <controlPr defaultSize="0" print="0" autoLine="0" r:id="rId7">
            <anchor moveWithCells="1">
              <from>
                <xdr:col>9</xdr:col>
                <xdr:colOff>219075</xdr:colOff>
                <xdr:row>7</xdr:row>
                <xdr:rowOff>57150</xdr:rowOff>
              </from>
              <to>
                <xdr:col>10</xdr:col>
                <xdr:colOff>571500</xdr:colOff>
                <xdr:row>9</xdr:row>
                <xdr:rowOff>57150</xdr:rowOff>
              </to>
            </anchor>
          </controlPr>
        </control>
      </mc:Choice>
      <mc:Fallback>
        <control shapeId="1034" r:id="rId6" name="TIButton4"/>
      </mc:Fallback>
    </mc:AlternateContent>
    <mc:AlternateContent xmlns:mc="http://schemas.openxmlformats.org/markup-compatibility/2006">
      <mc:Choice Requires="x14">
        <control shapeId="1031" r:id="rId8" name="TIButton3">
          <controlPr defaultSize="0" print="0" autoLine="0" r:id="rId9">
            <anchor moveWithCells="1">
              <from>
                <xdr:col>3</xdr:col>
                <xdr:colOff>200025</xdr:colOff>
                <xdr:row>19</xdr:row>
                <xdr:rowOff>76200</xdr:rowOff>
              </from>
              <to>
                <xdr:col>4</xdr:col>
                <xdr:colOff>552450</xdr:colOff>
                <xdr:row>21</xdr:row>
                <xdr:rowOff>76200</xdr:rowOff>
              </to>
            </anchor>
          </controlPr>
        </control>
      </mc:Choice>
      <mc:Fallback>
        <control shapeId="1031" r:id="rId8" name="TIButton3"/>
      </mc:Fallback>
    </mc:AlternateContent>
    <mc:AlternateContent xmlns:mc="http://schemas.openxmlformats.org/markup-compatibility/2006">
      <mc:Choice Requires="x14">
        <control shapeId="1029" r:id="rId10" name="TIButton2">
          <controlPr defaultSize="0" print="0" autoLine="0" r:id="rId11">
            <anchor moveWithCells="1">
              <from>
                <xdr:col>3</xdr:col>
                <xdr:colOff>200025</xdr:colOff>
                <xdr:row>13</xdr:row>
                <xdr:rowOff>76200</xdr:rowOff>
              </from>
              <to>
                <xdr:col>4</xdr:col>
                <xdr:colOff>552450</xdr:colOff>
                <xdr:row>15</xdr:row>
                <xdr:rowOff>76200</xdr:rowOff>
              </to>
            </anchor>
          </controlPr>
        </control>
      </mc:Choice>
      <mc:Fallback>
        <control shapeId="1029" r:id="rId10" name="TIButton2"/>
      </mc:Fallback>
    </mc:AlternateContent>
    <mc:AlternateContent xmlns:mc="http://schemas.openxmlformats.org/markup-compatibility/2006">
      <mc:Choice Requires="x14">
        <control shapeId="1026" r:id="rId12" name="TIButton1">
          <controlPr defaultSize="0" print="0" autoLine="0" r:id="rId13">
            <anchor moveWithCells="1">
              <from>
                <xdr:col>3</xdr:col>
                <xdr:colOff>200025</xdr:colOff>
                <xdr:row>7</xdr:row>
                <xdr:rowOff>66675</xdr:rowOff>
              </from>
              <to>
                <xdr:col>4</xdr:col>
                <xdr:colOff>552450</xdr:colOff>
                <xdr:row>9</xdr:row>
                <xdr:rowOff>66675</xdr:rowOff>
              </to>
            </anchor>
          </controlPr>
        </control>
      </mc:Choice>
      <mc:Fallback>
        <control shapeId="1026" r:id="rId12" name="TI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L33"/>
  <sheetViews>
    <sheetView showGridLines="0" topLeftCell="B10" workbookViewId="0">
      <pane xSplit="2" ySplit="3" topLeftCell="D13" activePane="bottomRight" state="frozen"/>
      <selection activeCell="B10" sqref="B10"/>
      <selection pane="topRight" activeCell="D10" sqref="D10"/>
      <selection pane="bottomLeft" activeCell="B13" sqref="B13"/>
      <selection pane="bottomRight" activeCell="C10" sqref="C10:H10"/>
    </sheetView>
  </sheetViews>
  <sheetFormatPr defaultRowHeight="12" x14ac:dyDescent="0.2"/>
  <cols>
    <col min="1" max="1" width="2.7109375" style="5" hidden="1" customWidth="1"/>
    <col min="2" max="2" width="2.7109375" style="5" customWidth="1"/>
    <col min="3" max="3" width="26.42578125" style="5" customWidth="1"/>
    <col min="4" max="4" width="24" style="5" customWidth="1"/>
    <col min="5" max="8" width="15.7109375" style="5" customWidth="1"/>
    <col min="9" max="16384" width="9.140625" style="5"/>
  </cols>
  <sheetData>
    <row r="1" spans="1:1000" hidden="1" x14ac:dyDescent="0.2">
      <c r="A1" s="5" t="s">
        <v>36</v>
      </c>
      <c r="F1" s="26"/>
    </row>
    <row r="2" spans="1:1000" hidden="1" x14ac:dyDescent="0.2">
      <c r="A2" s="5">
        <f>0</f>
        <v>0</v>
      </c>
      <c r="C2" s="21"/>
      <c r="D2" s="28"/>
      <c r="E2" s="29"/>
      <c r="F2" s="30"/>
      <c r="G2" s="30"/>
      <c r="H2" s="30"/>
    </row>
    <row r="3" spans="1:1000" hidden="1" x14ac:dyDescent="0.2">
      <c r="A3" s="5">
        <f>1</f>
        <v>1</v>
      </c>
      <c r="C3" s="21"/>
      <c r="D3" s="28"/>
      <c r="E3" s="29"/>
      <c r="F3" s="30"/>
      <c r="G3" s="30"/>
      <c r="H3" s="30"/>
    </row>
    <row r="4" spans="1:1000" hidden="1" x14ac:dyDescent="0.2">
      <c r="A4" s="5">
        <f>2</f>
        <v>2</v>
      </c>
      <c r="C4" s="21"/>
      <c r="D4" s="28"/>
      <c r="E4" s="29"/>
      <c r="F4" s="30"/>
      <c r="G4" s="30"/>
      <c r="H4" s="30"/>
    </row>
    <row r="5" spans="1:1000" hidden="1" x14ac:dyDescent="0.2">
      <c r="A5" s="5">
        <f>3</f>
        <v>3</v>
      </c>
      <c r="C5" s="21"/>
      <c r="D5" s="28"/>
      <c r="E5" s="29"/>
      <c r="F5" s="30"/>
      <c r="G5" s="30"/>
      <c r="H5" s="30"/>
    </row>
    <row r="6" spans="1:1000" ht="14.1" hidden="1" customHeight="1" x14ac:dyDescent="0.2">
      <c r="A6" s="5" t="s">
        <v>37</v>
      </c>
      <c r="C6" s="31"/>
      <c r="D6" s="32"/>
      <c r="E6" s="33"/>
      <c r="F6" s="34"/>
      <c r="G6" s="34"/>
      <c r="H6" s="34"/>
    </row>
    <row r="7" spans="1:1000" ht="14.1" hidden="1" customHeight="1" x14ac:dyDescent="0.2">
      <c r="A7" s="5" t="s">
        <v>16</v>
      </c>
      <c r="C7" s="22"/>
      <c r="D7" s="8"/>
      <c r="E7" s="27"/>
      <c r="F7" s="25"/>
      <c r="G7" s="25"/>
      <c r="H7" s="25"/>
    </row>
    <row r="8" spans="1:1000" hidden="1" x14ac:dyDescent="0.2">
      <c r="A8" s="5" t="s">
        <v>38</v>
      </c>
      <c r="F8" s="26"/>
    </row>
    <row r="9" spans="1:1000" hidden="1" x14ac:dyDescent="0.2">
      <c r="C9" s="5" t="str">
        <f ca="1">_xll.TM1RPTVIEW("smartco:}ElementAttributes_Version:1", 0,TM1RPTFMTRNG,TM1RPTFMTIDCOL)</f>
        <v>smartco:}ElementAttributes_Version:1</v>
      </c>
    </row>
    <row r="10" spans="1:1000" s="2" customFormat="1" ht="24" customHeight="1" x14ac:dyDescent="0.25">
      <c r="A10" s="3"/>
      <c r="B10" s="3"/>
      <c r="C10" s="40" t="s">
        <v>12</v>
      </c>
      <c r="D10" s="40"/>
      <c r="E10" s="40"/>
      <c r="F10" s="13"/>
      <c r="G10" s="13"/>
      <c r="H10" s="13"/>
      <c r="I10" s="20"/>
      <c r="J10" s="20"/>
      <c r="K10" s="20"/>
      <c r="L10" s="20"/>
    </row>
    <row r="12" spans="1:1000" ht="15.75" customHeight="1" thickBot="1" x14ac:dyDescent="0.25">
      <c r="C12" s="36" t="s">
        <v>7</v>
      </c>
      <c r="D12" s="23" t="s">
        <v>40</v>
      </c>
      <c r="E12" s="23" t="s">
        <v>44</v>
      </c>
      <c r="F12" s="23" t="s">
        <v>39</v>
      </c>
      <c r="G12" s="23" t="s">
        <v>41</v>
      </c>
      <c r="H12" s="23" t="s">
        <v>42</v>
      </c>
    </row>
    <row r="13" spans="1:1000" ht="14.25" customHeight="1" thickTop="1" x14ac:dyDescent="0.2">
      <c r="A13" s="5" t="str">
        <f ca="1">IF(MOD(_xll.DIMIX("smartco:Version",$C13),2)=0,"D","N")</f>
        <v>N</v>
      </c>
      <c r="C13" s="7" t="str">
        <f ca="1">_xll.TM1RPTROW($C$9,"smartco:Version","All Members No Alias","","")</f>
        <v>Version 1</v>
      </c>
      <c r="D13" s="8" t="str">
        <f ca="1">_xll.DBRW($C$9,$C13,D$12)</f>
        <v>Budget</v>
      </c>
      <c r="E13" s="27" t="str">
        <f ca="1">_xll.DBRW($C$9,$C13,E$12)</f>
        <v>Version 1</v>
      </c>
      <c r="F13" s="25">
        <f ca="1">_xll.DBRW($C$9,$C13,F$12)</f>
        <v>1</v>
      </c>
      <c r="G13" s="25" t="str">
        <f ca="1">_xll.DBRW($C$9,$C13,G$12)</f>
        <v>B</v>
      </c>
      <c r="H13" s="25" t="str">
        <f ca="1">_xll.DBRW($C$9,$C13,H$12)</f>
        <v>Y</v>
      </c>
    </row>
    <row r="14" spans="1:1000" customFormat="1" ht="14.25" customHeight="1" x14ac:dyDescent="0.25">
      <c r="A14" s="5" t="str">
        <f ca="1">IF(MOD(_xll.DIMIX("smartco:Version",$C14),2)=0,"D","N")</f>
        <v>D</v>
      </c>
      <c r="B14" s="5"/>
      <c r="C14" s="35" t="s">
        <v>157</v>
      </c>
      <c r="D14" s="32" t="str">
        <f ca="1">_xll.DBRW($C$9,$C14,D$12)</f>
        <v>Budget V2</v>
      </c>
      <c r="E14" s="33" t="str">
        <f ca="1">_xll.DBRW($C$9,$C14,E$12)</f>
        <v>Version 2</v>
      </c>
      <c r="F14" s="34">
        <f ca="1">_xll.DBRW($C$9,$C14,F$12)</f>
        <v>1</v>
      </c>
      <c r="G14" s="34" t="str">
        <f ca="1">_xll.DBRW($C$9,$C14,G$12)</f>
        <v>B</v>
      </c>
      <c r="H14" s="34" t="str">
        <f ca="1">_xll.DBRW($C$9,$C14,H$12)</f>
        <v>Y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</row>
    <row r="15" spans="1:1000" customFormat="1" ht="14.25" customHeight="1" x14ac:dyDescent="0.25">
      <c r="A15" s="5" t="str">
        <f ca="1">IF(MOD(_xll.DIMIX("smartco:Version",$C15),2)=0,"D","N")</f>
        <v>N</v>
      </c>
      <c r="B15" s="5"/>
      <c r="C15" s="7" t="s">
        <v>21</v>
      </c>
      <c r="D15" s="8" t="str">
        <f ca="1">_xll.DBRW($C$9,$C15,D$12)</f>
        <v>Variance</v>
      </c>
      <c r="E15" s="27" t="str">
        <f ca="1">_xll.DBRW($C$9,$C15,E$12)</f>
        <v/>
      </c>
      <c r="F15" s="25">
        <f ca="1">_xll.DBRW($C$9,$C15,F$12)</f>
        <v>0</v>
      </c>
      <c r="G15" s="25" t="str">
        <f ca="1">_xll.DBRW($C$9,$C15,G$12)</f>
        <v>V</v>
      </c>
      <c r="H15" s="25" t="str">
        <f ca="1">_xll.DBRW($C$9,$C15,H$12)</f>
        <v>Y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</row>
    <row r="16" spans="1:1000" customFormat="1" ht="14.25" customHeight="1" x14ac:dyDescent="0.25">
      <c r="A16" s="5" t="str">
        <f ca="1">IF(MOD(_xll.DIMIX("smartco:Version",$C16),2)=0,"D","N")</f>
        <v>D</v>
      </c>
      <c r="B16" s="5"/>
      <c r="C16" s="35" t="s">
        <v>22</v>
      </c>
      <c r="D16" s="32" t="str">
        <f ca="1">_xll.DBRW($C$9,$C16,D$12)</f>
        <v>Variance%</v>
      </c>
      <c r="E16" s="33" t="str">
        <f ca="1">_xll.DBRW($C$9,$C16,E$12)</f>
        <v/>
      </c>
      <c r="F16" s="34">
        <f ca="1">_xll.DBRW($C$9,$C16,F$12)</f>
        <v>0</v>
      </c>
      <c r="G16" s="34" t="str">
        <f ca="1">_xll.DBRW($C$9,$C16,G$12)</f>
        <v>V</v>
      </c>
      <c r="H16" s="34" t="str">
        <f ca="1">_xll.DBRW($C$9,$C16,H$12)</f>
        <v>Y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</row>
    <row r="17" spans="1:1000" customFormat="1" ht="14.25" customHeight="1" x14ac:dyDescent="0.25">
      <c r="A17" s="5" t="str">
        <f ca="1">IF(MOD(_xll.DIMIX("smartco:Version",$C17),2)=0,"D","N")</f>
        <v>N</v>
      </c>
      <c r="B17" s="5"/>
      <c r="C17" s="7" t="s">
        <v>23</v>
      </c>
      <c r="D17" s="8" t="str">
        <f ca="1">_xll.DBRW($C$9,$C17,D$12)</f>
        <v>Explanation</v>
      </c>
      <c r="E17" s="27" t="str">
        <f ca="1">_xll.DBRW($C$9,$C17,E$12)</f>
        <v/>
      </c>
      <c r="F17" s="25">
        <f ca="1">_xll.DBRW($C$9,$C17,F$12)</f>
        <v>0</v>
      </c>
      <c r="G17" s="25" t="str">
        <f ca="1">_xll.DBRW($C$9,$C17,G$12)</f>
        <v/>
      </c>
      <c r="H17" s="25" t="str">
        <f ca="1">_xll.DBRW($C$9,$C17,H$12)</f>
        <v>Y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</row>
    <row r="18" spans="1:1000" customFormat="1" ht="14.25" customHeight="1" x14ac:dyDescent="0.25">
      <c r="A18" s="5" t="str">
        <f ca="1">IF(MOD(_xll.DIMIX("smartco:Version",$C18),2)=0,"D","N")</f>
        <v>D</v>
      </c>
      <c r="B18" s="5"/>
      <c r="C18" s="35" t="s">
        <v>24</v>
      </c>
      <c r="D18" s="32" t="str">
        <f ca="1">_xll.DBRW($C$9,$C18,D$12)</f>
        <v>Performance Variance</v>
      </c>
      <c r="E18" s="33" t="str">
        <f ca="1">_xll.DBRW($C$9,$C18,E$12)</f>
        <v/>
      </c>
      <c r="F18" s="34">
        <f ca="1">_xll.DBRW($C$9,$C18,F$12)</f>
        <v>0</v>
      </c>
      <c r="G18" s="34" t="str">
        <f ca="1">_xll.DBRW($C$9,$C18,G$12)</f>
        <v>V</v>
      </c>
      <c r="H18" s="34" t="str">
        <f ca="1">_xll.DBRW($C$9,$C18,H$12)</f>
        <v>Y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</row>
    <row r="19" spans="1:1000" customFormat="1" ht="14.25" customHeight="1" x14ac:dyDescent="0.25">
      <c r="A19" s="5" t="str">
        <f ca="1">IF(MOD(_xll.DIMIX("smartco:Version",$C19),2)=0,"D","N")</f>
        <v>N</v>
      </c>
      <c r="B19" s="5"/>
      <c r="C19" s="7" t="s">
        <v>25</v>
      </c>
      <c r="D19" s="8" t="str">
        <f ca="1">_xll.DBRW($C$9,$C19,D$12)</f>
        <v>Ccy Exchange Variance</v>
      </c>
      <c r="E19" s="27" t="str">
        <f ca="1">_xll.DBRW($C$9,$C19,E$12)</f>
        <v/>
      </c>
      <c r="F19" s="25">
        <f ca="1">_xll.DBRW($C$9,$C19,F$12)</f>
        <v>0</v>
      </c>
      <c r="G19" s="25" t="str">
        <f ca="1">_xll.DBRW($C$9,$C19,G$12)</f>
        <v>V</v>
      </c>
      <c r="H19" s="25" t="str">
        <f ca="1">_xll.DBRW($C$9,$C19,H$12)</f>
        <v>Y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</row>
    <row r="20" spans="1:1000" customFormat="1" ht="14.25" customHeight="1" x14ac:dyDescent="0.25">
      <c r="A20" s="5" t="str">
        <f ca="1">IF(MOD(_xll.DIMIX("smartco:Version",$C20),2)=0,"D","N")</f>
        <v>D</v>
      </c>
      <c r="B20" s="5"/>
      <c r="C20" s="35" t="s">
        <v>26</v>
      </c>
      <c r="D20" s="32" t="str">
        <f ca="1">_xll.DBRW($C$9,$C20,D$12)</f>
        <v>guysc1.</v>
      </c>
      <c r="E20" s="33" t="str">
        <f ca="1">_xll.DBRW($C$9,$C20,E$12)</f>
        <v/>
      </c>
      <c r="F20" s="34">
        <f ca="1">_xll.DBRW($C$9,$C20,F$12)</f>
        <v>1</v>
      </c>
      <c r="G20" s="34" t="str">
        <f ca="1">_xll.DBRW($C$9,$C20,G$12)</f>
        <v>V</v>
      </c>
      <c r="H20" s="34" t="str">
        <f ca="1">_xll.DBRW($C$9,$C20,H$12)</f>
        <v>Y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</row>
    <row r="21" spans="1:1000" customFormat="1" ht="14.25" customHeight="1" x14ac:dyDescent="0.25">
      <c r="A21" s="5" t="str">
        <f ca="1">IF(MOD(_xll.DIMIX("smartco:Version",$C21),2)=0,"D","N")</f>
        <v>N</v>
      </c>
      <c r="B21" s="5"/>
      <c r="C21" s="7" t="s">
        <v>158</v>
      </c>
      <c r="D21" s="8" t="str">
        <f ca="1">_xll.DBRW($C$9,$C21,D$12)</f>
        <v>Actual.</v>
      </c>
      <c r="E21" s="27" t="str">
        <f ca="1">_xll.DBRW($C$9,$C21,E$12)</f>
        <v/>
      </c>
      <c r="F21" s="25">
        <f ca="1">_xll.DBRW($C$9,$C21,F$12)</f>
        <v>1</v>
      </c>
      <c r="G21" s="25" t="str">
        <f ca="1">_xll.DBRW($C$9,$C21,G$12)</f>
        <v>V</v>
      </c>
      <c r="H21" s="25" t="str">
        <f ca="1">_xll.DBRW($C$9,$C21,H$12)</f>
        <v>Y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</row>
    <row r="22" spans="1:1000" customFormat="1" ht="14.25" customHeight="1" x14ac:dyDescent="0.25">
      <c r="A22" s="5" t="str">
        <f ca="1">IF(MOD(_xll.DIMIX("smartco:Version",$C22),2)=0,"D","N")</f>
        <v>D</v>
      </c>
      <c r="B22" s="5"/>
      <c r="C22" s="35" t="s">
        <v>27</v>
      </c>
      <c r="D22" s="32" t="str">
        <f ca="1">_xll.DBRW($C$9,$C22,D$12)</f>
        <v>Actual</v>
      </c>
      <c r="E22" s="33" t="str">
        <f ca="1">_xll.DBRW($C$9,$C22,E$12)</f>
        <v/>
      </c>
      <c r="F22" s="34">
        <f ca="1">_xll.DBRW($C$9,$C22,F$12)</f>
        <v>1</v>
      </c>
      <c r="G22" s="34" t="str">
        <f ca="1">_xll.DBRW($C$9,$C22,G$12)</f>
        <v>A</v>
      </c>
      <c r="H22" s="34" t="str">
        <f ca="1">_xll.DBRW($C$9,$C22,H$12)</f>
        <v>Y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</row>
    <row r="23" spans="1:1000" customFormat="1" ht="14.25" customHeight="1" x14ac:dyDescent="0.25">
      <c r="A23" s="5" t="str">
        <f ca="1">IF(MOD(_xll.DIMIX("smartco:Version",$C23),2)=0,"D","N")</f>
        <v>N</v>
      </c>
      <c r="B23" s="5"/>
      <c r="C23" s="7" t="s">
        <v>28</v>
      </c>
      <c r="D23" s="8" t="str">
        <f ca="1">_xll.DBRW($C$9,$C23,D$12)</f>
        <v>Forecast</v>
      </c>
      <c r="E23" s="27" t="str">
        <f ca="1">_xll.DBRW($C$9,$C23,E$12)</f>
        <v/>
      </c>
      <c r="F23" s="25">
        <f ca="1">_xll.DBRW($C$9,$C23,F$12)</f>
        <v>1</v>
      </c>
      <c r="G23" s="25" t="str">
        <f ca="1">_xll.DBRW($C$9,$C23,G$12)</f>
        <v>F</v>
      </c>
      <c r="H23" s="25" t="str">
        <f ca="1">_xll.DBRW($C$9,$C23,H$12)</f>
        <v>Y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</row>
    <row r="24" spans="1:1000" customFormat="1" ht="14.25" customHeight="1" x14ac:dyDescent="0.25">
      <c r="A24" s="5" t="str">
        <f ca="1">IF(MOD(_xll.DIMIX("smartco:Version",$C24),2)=0,"D","N")</f>
        <v>D</v>
      </c>
      <c r="B24" s="5"/>
      <c r="C24" s="35" t="s">
        <v>29</v>
      </c>
      <c r="D24" s="32" t="str">
        <f ca="1">_xll.DBRW($C$9,$C24,D$12)</f>
        <v>Target</v>
      </c>
      <c r="E24" s="33" t="str">
        <f ca="1">_xll.DBRW($C$9,$C24,E$12)</f>
        <v/>
      </c>
      <c r="F24" s="34">
        <f ca="1">_xll.DBRW($C$9,$C24,F$12)</f>
        <v>-1</v>
      </c>
      <c r="G24" s="34" t="str">
        <f ca="1">_xll.DBRW($C$9,$C24,G$12)</f>
        <v>T</v>
      </c>
      <c r="H24" s="34" t="str">
        <f ca="1">_xll.DBRW($C$9,$C24,H$12)</f>
        <v>Y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</row>
    <row r="25" spans="1:1000" customFormat="1" ht="14.25" customHeight="1" x14ac:dyDescent="0.25">
      <c r="A25" s="5" t="str">
        <f ca="1">IF(MOD(_xll.DIMIX("smartco:Version",$C25),2)=0,"D","N")</f>
        <v>N</v>
      </c>
      <c r="B25" s="5"/>
      <c r="C25" s="7" t="s">
        <v>30</v>
      </c>
      <c r="D25" s="8" t="str">
        <f ca="1">_xll.DBRW($C$9,$C25,D$12)</f>
        <v>Prior Year Actual</v>
      </c>
      <c r="E25" s="27" t="str">
        <f ca="1">_xll.DBRW($C$9,$C25,E$12)</f>
        <v/>
      </c>
      <c r="F25" s="25">
        <f ca="1">_xll.DBRW($C$9,$C25,F$12)</f>
        <v>0</v>
      </c>
      <c r="G25" s="25" t="str">
        <f ca="1">_xll.DBRW($C$9,$C25,G$12)</f>
        <v>A</v>
      </c>
      <c r="H25" s="25" t="str">
        <f ca="1">_xll.DBRW($C$9,$C25,H$12)</f>
        <v>Y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</row>
    <row r="26" spans="1:1000" customFormat="1" ht="14.25" customHeight="1" x14ac:dyDescent="0.25">
      <c r="A26" s="5" t="str">
        <f ca="1">IF(MOD(_xll.DIMIX("smartco:Version",$C26),2)=0,"D","N")</f>
        <v>D</v>
      </c>
      <c r="B26" s="5"/>
      <c r="C26" s="35" t="s">
        <v>31</v>
      </c>
      <c r="D26" s="32" t="str">
        <f ca="1">_xll.DBRW($C$9,$C26,D$12)</f>
        <v>Target vs Prior Year Actual</v>
      </c>
      <c r="E26" s="33" t="str">
        <f ca="1">_xll.DBRW($C$9,$C26,E$12)</f>
        <v/>
      </c>
      <c r="F26" s="34">
        <f ca="1">_xll.DBRW($C$9,$C26,F$12)</f>
        <v>0</v>
      </c>
      <c r="G26" s="34" t="str">
        <f ca="1">_xll.DBRW($C$9,$C26,G$12)</f>
        <v>V</v>
      </c>
      <c r="H26" s="34" t="str">
        <f ca="1">_xll.DBRW($C$9,$C26,H$12)</f>
        <v>Y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  <c r="ALI26" s="5"/>
      <c r="ALJ26" s="5"/>
      <c r="ALK26" s="5"/>
      <c r="ALL26" s="5"/>
    </row>
    <row r="27" spans="1:1000" customFormat="1" ht="14.25" customHeight="1" x14ac:dyDescent="0.25">
      <c r="A27" s="5" t="str">
        <f ca="1">IF(MOD(_xll.DIMIX("smartco:Version",$C27),2)=0,"D","N")</f>
        <v>N</v>
      </c>
      <c r="B27" s="5"/>
      <c r="C27" s="7" t="s">
        <v>32</v>
      </c>
      <c r="D27" s="8" t="str">
        <f ca="1">_xll.DBRW($C$9,$C27,D$12)</f>
        <v>Target vs Prior Year Actual %</v>
      </c>
      <c r="E27" s="27" t="str">
        <f ca="1">_xll.DBRW($C$9,$C27,E$12)</f>
        <v/>
      </c>
      <c r="F27" s="25">
        <f ca="1">_xll.DBRW($C$9,$C27,F$12)</f>
        <v>0</v>
      </c>
      <c r="G27" s="25" t="str">
        <f ca="1">_xll.DBRW($C$9,$C27,G$12)</f>
        <v>V</v>
      </c>
      <c r="H27" s="25" t="str">
        <f ca="1">_xll.DBRW($C$9,$C27,H$12)</f>
        <v>Y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  <c r="ALI27" s="5"/>
      <c r="ALJ27" s="5"/>
      <c r="ALK27" s="5"/>
      <c r="ALL27" s="5"/>
    </row>
    <row r="28" spans="1:1000" customFormat="1" ht="14.25" customHeight="1" x14ac:dyDescent="0.25">
      <c r="A28" s="5" t="str">
        <f ca="1">IF(MOD(_xll.DIMIX("smartco:Version",$C28),2)=0,"D","N")</f>
        <v>D</v>
      </c>
      <c r="B28" s="5"/>
      <c r="C28" s="35" t="s">
        <v>115</v>
      </c>
      <c r="D28" s="32" t="str">
        <f ca="1">_xll.DBRW($C$9,$C28,D$12)</f>
        <v>Rate Variance</v>
      </c>
      <c r="E28" s="33" t="str">
        <f ca="1">_xll.DBRW($C$9,$C28,E$12)</f>
        <v/>
      </c>
      <c r="F28" s="34">
        <f ca="1">_xll.DBRW($C$9,$C28,F$12)</f>
        <v>1</v>
      </c>
      <c r="G28" s="34" t="str">
        <f ca="1">_xll.DBRW($C$9,$C28,G$12)</f>
        <v>V</v>
      </c>
      <c r="H28" s="34" t="str">
        <f ca="1">_xll.DBRW($C$9,$C28,H$12)</f>
        <v>Y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  <c r="ALI28" s="5"/>
      <c r="ALJ28" s="5"/>
      <c r="ALK28" s="5"/>
      <c r="ALL28" s="5"/>
    </row>
    <row r="29" spans="1:1000" customFormat="1" ht="14.25" customHeight="1" x14ac:dyDescent="0.25">
      <c r="A29" s="5" t="str">
        <f ca="1">IF(MOD(_xll.DIMIX("smartco:Version",$C29),2)=0,"D","N")</f>
        <v>N</v>
      </c>
      <c r="B29" s="5"/>
      <c r="C29" s="7" t="s">
        <v>116</v>
      </c>
      <c r="D29" s="8" t="str">
        <f ca="1">_xll.DBRW($C$9,$C29,D$12)</f>
        <v>Volume Variance</v>
      </c>
      <c r="E29" s="27" t="str">
        <f ca="1">_xll.DBRW($C$9,$C29,E$12)</f>
        <v/>
      </c>
      <c r="F29" s="25">
        <f ca="1">_xll.DBRW($C$9,$C29,F$12)</f>
        <v>1</v>
      </c>
      <c r="G29" s="25" t="str">
        <f ca="1">_xll.DBRW($C$9,$C29,G$12)</f>
        <v>V</v>
      </c>
      <c r="H29" s="25" t="str">
        <f ca="1">_xll.DBRW($C$9,$C29,H$12)</f>
        <v>Y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  <c r="AAA29" s="5"/>
      <c r="AAB29" s="5"/>
      <c r="AAC29" s="5"/>
      <c r="AAD29" s="5"/>
      <c r="AAE29" s="5"/>
      <c r="AAF29" s="5"/>
      <c r="AAG29" s="5"/>
      <c r="AAH29" s="5"/>
      <c r="AAI29" s="5"/>
      <c r="AAJ29" s="5"/>
      <c r="AAK29" s="5"/>
      <c r="AAL29" s="5"/>
      <c r="AAM29" s="5"/>
      <c r="AAN29" s="5"/>
      <c r="AAO29" s="5"/>
      <c r="AAP29" s="5"/>
      <c r="AAQ29" s="5"/>
      <c r="AAR29" s="5"/>
      <c r="AAS29" s="5"/>
      <c r="AAT29" s="5"/>
      <c r="AAU29" s="5"/>
      <c r="AAV29" s="5"/>
      <c r="AAW29" s="5"/>
      <c r="AAX29" s="5"/>
      <c r="AAY29" s="5"/>
      <c r="AAZ29" s="5"/>
      <c r="ABA29" s="5"/>
      <c r="ABB29" s="5"/>
      <c r="ABC29" s="5"/>
      <c r="ABD29" s="5"/>
      <c r="ABE29" s="5"/>
      <c r="ABF29" s="5"/>
      <c r="ABG29" s="5"/>
      <c r="ABH29" s="5"/>
      <c r="ABI29" s="5"/>
      <c r="ABJ29" s="5"/>
      <c r="ABK29" s="5"/>
      <c r="ABL29" s="5"/>
      <c r="ABM29" s="5"/>
      <c r="ABN29" s="5"/>
      <c r="ABO29" s="5"/>
      <c r="ABP29" s="5"/>
      <c r="ABQ29" s="5"/>
      <c r="ABR29" s="5"/>
      <c r="ABS29" s="5"/>
      <c r="ABT29" s="5"/>
      <c r="ABU29" s="5"/>
      <c r="ABV29" s="5"/>
      <c r="ABW29" s="5"/>
      <c r="ABX29" s="5"/>
      <c r="ABY29" s="5"/>
      <c r="ABZ29" s="5"/>
      <c r="ACA29" s="5"/>
      <c r="ACB29" s="5"/>
      <c r="ACC29" s="5"/>
      <c r="ACD29" s="5"/>
      <c r="ACE29" s="5"/>
      <c r="ACF29" s="5"/>
      <c r="ACG29" s="5"/>
      <c r="ACH29" s="5"/>
      <c r="ACI29" s="5"/>
      <c r="ACJ29" s="5"/>
      <c r="ACK29" s="5"/>
      <c r="ACL29" s="5"/>
      <c r="ACM29" s="5"/>
      <c r="ACN29" s="5"/>
      <c r="ACO29" s="5"/>
      <c r="ACP29" s="5"/>
      <c r="ACQ29" s="5"/>
      <c r="ACR29" s="5"/>
      <c r="ACS29" s="5"/>
      <c r="ACT29" s="5"/>
      <c r="ACU29" s="5"/>
      <c r="ACV29" s="5"/>
      <c r="ACW29" s="5"/>
      <c r="ACX29" s="5"/>
      <c r="ACY29" s="5"/>
      <c r="ACZ29" s="5"/>
      <c r="ADA29" s="5"/>
      <c r="ADB29" s="5"/>
      <c r="ADC29" s="5"/>
      <c r="ADD29" s="5"/>
      <c r="ADE29" s="5"/>
      <c r="ADF29" s="5"/>
      <c r="ADG29" s="5"/>
      <c r="ADH29" s="5"/>
      <c r="ADI29" s="5"/>
      <c r="ADJ29" s="5"/>
      <c r="ADK29" s="5"/>
      <c r="ADL29" s="5"/>
      <c r="ADM29" s="5"/>
      <c r="ADN29" s="5"/>
      <c r="ADO29" s="5"/>
      <c r="ADP29" s="5"/>
      <c r="ADQ29" s="5"/>
      <c r="ADR29" s="5"/>
      <c r="ADS29" s="5"/>
      <c r="ADT29" s="5"/>
      <c r="ADU29" s="5"/>
      <c r="ADV29" s="5"/>
      <c r="ADW29" s="5"/>
      <c r="ADX29" s="5"/>
      <c r="ADY29" s="5"/>
      <c r="ADZ29" s="5"/>
      <c r="AEA29" s="5"/>
      <c r="AEB29" s="5"/>
      <c r="AEC29" s="5"/>
      <c r="AED29" s="5"/>
      <c r="AEE29" s="5"/>
      <c r="AEF29" s="5"/>
      <c r="AEG29" s="5"/>
      <c r="AEH29" s="5"/>
      <c r="AEI29" s="5"/>
      <c r="AEJ29" s="5"/>
      <c r="AEK29" s="5"/>
      <c r="AEL29" s="5"/>
      <c r="AEM29" s="5"/>
      <c r="AEN29" s="5"/>
      <c r="AEO29" s="5"/>
      <c r="AEP29" s="5"/>
      <c r="AEQ29" s="5"/>
      <c r="AER29" s="5"/>
      <c r="AES29" s="5"/>
      <c r="AET29" s="5"/>
      <c r="AEU29" s="5"/>
      <c r="AEV29" s="5"/>
      <c r="AEW29" s="5"/>
      <c r="AEX29" s="5"/>
      <c r="AEY29" s="5"/>
      <c r="AEZ29" s="5"/>
      <c r="AFA29" s="5"/>
      <c r="AFB29" s="5"/>
      <c r="AFC29" s="5"/>
      <c r="AFD29" s="5"/>
      <c r="AFE29" s="5"/>
      <c r="AFF29" s="5"/>
      <c r="AFG29" s="5"/>
      <c r="AFH29" s="5"/>
      <c r="AFI29" s="5"/>
      <c r="AFJ29" s="5"/>
      <c r="AFK29" s="5"/>
      <c r="AFL29" s="5"/>
      <c r="AFM29" s="5"/>
      <c r="AFN29" s="5"/>
      <c r="AFO29" s="5"/>
      <c r="AFP29" s="5"/>
      <c r="AFQ29" s="5"/>
      <c r="AFR29" s="5"/>
      <c r="AFS29" s="5"/>
      <c r="AFT29" s="5"/>
      <c r="AFU29" s="5"/>
      <c r="AFV29" s="5"/>
      <c r="AFW29" s="5"/>
      <c r="AFX29" s="5"/>
      <c r="AFY29" s="5"/>
      <c r="AFZ29" s="5"/>
      <c r="AGA29" s="5"/>
      <c r="AGB29" s="5"/>
      <c r="AGC29" s="5"/>
      <c r="AGD29" s="5"/>
      <c r="AGE29" s="5"/>
      <c r="AGF29" s="5"/>
      <c r="AGG29" s="5"/>
      <c r="AGH29" s="5"/>
      <c r="AGI29" s="5"/>
      <c r="AGJ29" s="5"/>
      <c r="AGK29" s="5"/>
      <c r="AGL29" s="5"/>
      <c r="AGM29" s="5"/>
      <c r="AGN29" s="5"/>
      <c r="AGO29" s="5"/>
      <c r="AGP29" s="5"/>
      <c r="AGQ29" s="5"/>
      <c r="AGR29" s="5"/>
      <c r="AGS29" s="5"/>
      <c r="AGT29" s="5"/>
      <c r="AGU29" s="5"/>
      <c r="AGV29" s="5"/>
      <c r="AGW29" s="5"/>
      <c r="AGX29" s="5"/>
      <c r="AGY29" s="5"/>
      <c r="AGZ29" s="5"/>
      <c r="AHA29" s="5"/>
      <c r="AHB29" s="5"/>
      <c r="AHC29" s="5"/>
      <c r="AHD29" s="5"/>
      <c r="AHE29" s="5"/>
      <c r="AHF29" s="5"/>
      <c r="AHG29" s="5"/>
      <c r="AHH29" s="5"/>
      <c r="AHI29" s="5"/>
      <c r="AHJ29" s="5"/>
      <c r="AHK29" s="5"/>
      <c r="AHL29" s="5"/>
      <c r="AHM29" s="5"/>
      <c r="AHN29" s="5"/>
      <c r="AHO29" s="5"/>
      <c r="AHP29" s="5"/>
      <c r="AHQ29" s="5"/>
      <c r="AHR29" s="5"/>
      <c r="AHS29" s="5"/>
      <c r="AHT29" s="5"/>
      <c r="AHU29" s="5"/>
      <c r="AHV29" s="5"/>
      <c r="AHW29" s="5"/>
      <c r="AHX29" s="5"/>
      <c r="AHY29" s="5"/>
      <c r="AHZ29" s="5"/>
      <c r="AIA29" s="5"/>
      <c r="AIB29" s="5"/>
      <c r="AIC29" s="5"/>
      <c r="AID29" s="5"/>
      <c r="AIE29" s="5"/>
      <c r="AIF29" s="5"/>
      <c r="AIG29" s="5"/>
      <c r="AIH29" s="5"/>
      <c r="AII29" s="5"/>
      <c r="AIJ29" s="5"/>
      <c r="AIK29" s="5"/>
      <c r="AIL29" s="5"/>
      <c r="AIM29" s="5"/>
      <c r="AIN29" s="5"/>
      <c r="AIO29" s="5"/>
      <c r="AIP29" s="5"/>
      <c r="AIQ29" s="5"/>
      <c r="AIR29" s="5"/>
      <c r="AIS29" s="5"/>
      <c r="AIT29" s="5"/>
      <c r="AIU29" s="5"/>
      <c r="AIV29" s="5"/>
      <c r="AIW29" s="5"/>
      <c r="AIX29" s="5"/>
      <c r="AIY29" s="5"/>
      <c r="AIZ29" s="5"/>
      <c r="AJA29" s="5"/>
      <c r="AJB29" s="5"/>
      <c r="AJC29" s="5"/>
      <c r="AJD29" s="5"/>
      <c r="AJE29" s="5"/>
      <c r="AJF29" s="5"/>
      <c r="AJG29" s="5"/>
      <c r="AJH29" s="5"/>
      <c r="AJI29" s="5"/>
      <c r="AJJ29" s="5"/>
      <c r="AJK29" s="5"/>
      <c r="AJL29" s="5"/>
      <c r="AJM29" s="5"/>
      <c r="AJN29" s="5"/>
      <c r="AJO29" s="5"/>
      <c r="AJP29" s="5"/>
      <c r="AJQ29" s="5"/>
      <c r="AJR29" s="5"/>
      <c r="AJS29" s="5"/>
      <c r="AJT29" s="5"/>
      <c r="AJU29" s="5"/>
      <c r="AJV29" s="5"/>
      <c r="AJW29" s="5"/>
      <c r="AJX29" s="5"/>
      <c r="AJY29" s="5"/>
      <c r="AJZ29" s="5"/>
      <c r="AKA29" s="5"/>
      <c r="AKB29" s="5"/>
      <c r="AKC29" s="5"/>
      <c r="AKD29" s="5"/>
      <c r="AKE29" s="5"/>
      <c r="AKF29" s="5"/>
      <c r="AKG29" s="5"/>
      <c r="AKH29" s="5"/>
      <c r="AKI29" s="5"/>
      <c r="AKJ29" s="5"/>
      <c r="AKK29" s="5"/>
      <c r="AKL29" s="5"/>
      <c r="AKM29" s="5"/>
      <c r="AKN29" s="5"/>
      <c r="AKO29" s="5"/>
      <c r="AKP29" s="5"/>
      <c r="AKQ29" s="5"/>
      <c r="AKR29" s="5"/>
      <c r="AKS29" s="5"/>
      <c r="AKT29" s="5"/>
      <c r="AKU29" s="5"/>
      <c r="AKV29" s="5"/>
      <c r="AKW29" s="5"/>
      <c r="AKX29" s="5"/>
      <c r="AKY29" s="5"/>
      <c r="AKZ29" s="5"/>
      <c r="ALA29" s="5"/>
      <c r="ALB29" s="5"/>
      <c r="ALC29" s="5"/>
      <c r="ALD29" s="5"/>
      <c r="ALE29" s="5"/>
      <c r="ALF29" s="5"/>
      <c r="ALG29" s="5"/>
      <c r="ALH29" s="5"/>
      <c r="ALI29" s="5"/>
      <c r="ALJ29" s="5"/>
      <c r="ALK29" s="5"/>
      <c r="ALL29" s="5"/>
    </row>
    <row r="30" spans="1:1000" customFormat="1" ht="14.25" customHeight="1" x14ac:dyDescent="0.25">
      <c r="A30" s="5" t="str">
        <f ca="1">IF(MOD(_xll.DIMIX("smartco:Version",$C30),2)=0,"D","N")</f>
        <v>D</v>
      </c>
      <c r="B30" s="5"/>
      <c r="C30" s="35" t="s">
        <v>13</v>
      </c>
      <c r="D30" s="32" t="str">
        <f ca="1">_xll.DBRW($C$9,$C30,D$12)</f>
        <v>Zero</v>
      </c>
      <c r="E30" s="33" t="str">
        <f ca="1">_xll.DBRW($C$9,$C30,E$12)</f>
        <v/>
      </c>
      <c r="F30" s="34">
        <f ca="1">_xll.DBRW($C$9,$C30,F$12)</f>
        <v>0</v>
      </c>
      <c r="G30" s="34" t="str">
        <f ca="1">_xll.DBRW($C$9,$C30,G$12)</f>
        <v>Z</v>
      </c>
      <c r="H30" s="34" t="str">
        <f ca="1">_xll.DBRW($C$9,$C30,H$12)</f>
        <v>Y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  <c r="AAA30" s="5"/>
      <c r="AAB30" s="5"/>
      <c r="AAC30" s="5"/>
      <c r="AAD30" s="5"/>
      <c r="AAE30" s="5"/>
      <c r="AAF30" s="5"/>
      <c r="AAG30" s="5"/>
      <c r="AAH30" s="5"/>
      <c r="AAI30" s="5"/>
      <c r="AAJ30" s="5"/>
      <c r="AAK30" s="5"/>
      <c r="AAL30" s="5"/>
      <c r="AAM30" s="5"/>
      <c r="AAN30" s="5"/>
      <c r="AAO30" s="5"/>
      <c r="AAP30" s="5"/>
      <c r="AAQ30" s="5"/>
      <c r="AAR30" s="5"/>
      <c r="AAS30" s="5"/>
      <c r="AAT30" s="5"/>
      <c r="AAU30" s="5"/>
      <c r="AAV30" s="5"/>
      <c r="AAW30" s="5"/>
      <c r="AAX30" s="5"/>
      <c r="AAY30" s="5"/>
      <c r="AAZ30" s="5"/>
      <c r="ABA30" s="5"/>
      <c r="ABB30" s="5"/>
      <c r="ABC30" s="5"/>
      <c r="ABD30" s="5"/>
      <c r="ABE30" s="5"/>
      <c r="ABF30" s="5"/>
      <c r="ABG30" s="5"/>
      <c r="ABH30" s="5"/>
      <c r="ABI30" s="5"/>
      <c r="ABJ30" s="5"/>
      <c r="ABK30" s="5"/>
      <c r="ABL30" s="5"/>
      <c r="ABM30" s="5"/>
      <c r="ABN30" s="5"/>
      <c r="ABO30" s="5"/>
      <c r="ABP30" s="5"/>
      <c r="ABQ30" s="5"/>
      <c r="ABR30" s="5"/>
      <c r="ABS30" s="5"/>
      <c r="ABT30" s="5"/>
      <c r="ABU30" s="5"/>
      <c r="ABV30" s="5"/>
      <c r="ABW30" s="5"/>
      <c r="ABX30" s="5"/>
      <c r="ABY30" s="5"/>
      <c r="ABZ30" s="5"/>
      <c r="ACA30" s="5"/>
      <c r="ACB30" s="5"/>
      <c r="ACC30" s="5"/>
      <c r="ACD30" s="5"/>
      <c r="ACE30" s="5"/>
      <c r="ACF30" s="5"/>
      <c r="ACG30" s="5"/>
      <c r="ACH30" s="5"/>
      <c r="ACI30" s="5"/>
      <c r="ACJ30" s="5"/>
      <c r="ACK30" s="5"/>
      <c r="ACL30" s="5"/>
      <c r="ACM30" s="5"/>
      <c r="ACN30" s="5"/>
      <c r="ACO30" s="5"/>
      <c r="ACP30" s="5"/>
      <c r="ACQ30" s="5"/>
      <c r="ACR30" s="5"/>
      <c r="ACS30" s="5"/>
      <c r="ACT30" s="5"/>
      <c r="ACU30" s="5"/>
      <c r="ACV30" s="5"/>
      <c r="ACW30" s="5"/>
      <c r="ACX30" s="5"/>
      <c r="ACY30" s="5"/>
      <c r="ACZ30" s="5"/>
      <c r="ADA30" s="5"/>
      <c r="ADB30" s="5"/>
      <c r="ADC30" s="5"/>
      <c r="ADD30" s="5"/>
      <c r="ADE30" s="5"/>
      <c r="ADF30" s="5"/>
      <c r="ADG30" s="5"/>
      <c r="ADH30" s="5"/>
      <c r="ADI30" s="5"/>
      <c r="ADJ30" s="5"/>
      <c r="ADK30" s="5"/>
      <c r="ADL30" s="5"/>
      <c r="ADM30" s="5"/>
      <c r="ADN30" s="5"/>
      <c r="ADO30" s="5"/>
      <c r="ADP30" s="5"/>
      <c r="ADQ30" s="5"/>
      <c r="ADR30" s="5"/>
      <c r="ADS30" s="5"/>
      <c r="ADT30" s="5"/>
      <c r="ADU30" s="5"/>
      <c r="ADV30" s="5"/>
      <c r="ADW30" s="5"/>
      <c r="ADX30" s="5"/>
      <c r="ADY30" s="5"/>
      <c r="ADZ30" s="5"/>
      <c r="AEA30" s="5"/>
      <c r="AEB30" s="5"/>
      <c r="AEC30" s="5"/>
      <c r="AED30" s="5"/>
      <c r="AEE30" s="5"/>
      <c r="AEF30" s="5"/>
      <c r="AEG30" s="5"/>
      <c r="AEH30" s="5"/>
      <c r="AEI30" s="5"/>
      <c r="AEJ30" s="5"/>
      <c r="AEK30" s="5"/>
      <c r="AEL30" s="5"/>
      <c r="AEM30" s="5"/>
      <c r="AEN30" s="5"/>
      <c r="AEO30" s="5"/>
      <c r="AEP30" s="5"/>
      <c r="AEQ30" s="5"/>
      <c r="AER30" s="5"/>
      <c r="AES30" s="5"/>
      <c r="AET30" s="5"/>
      <c r="AEU30" s="5"/>
      <c r="AEV30" s="5"/>
      <c r="AEW30" s="5"/>
      <c r="AEX30" s="5"/>
      <c r="AEY30" s="5"/>
      <c r="AEZ30" s="5"/>
      <c r="AFA30" s="5"/>
      <c r="AFB30" s="5"/>
      <c r="AFC30" s="5"/>
      <c r="AFD30" s="5"/>
      <c r="AFE30" s="5"/>
      <c r="AFF30" s="5"/>
      <c r="AFG30" s="5"/>
      <c r="AFH30" s="5"/>
      <c r="AFI30" s="5"/>
      <c r="AFJ30" s="5"/>
      <c r="AFK30" s="5"/>
      <c r="AFL30" s="5"/>
      <c r="AFM30" s="5"/>
      <c r="AFN30" s="5"/>
      <c r="AFO30" s="5"/>
      <c r="AFP30" s="5"/>
      <c r="AFQ30" s="5"/>
      <c r="AFR30" s="5"/>
      <c r="AFS30" s="5"/>
      <c r="AFT30" s="5"/>
      <c r="AFU30" s="5"/>
      <c r="AFV30" s="5"/>
      <c r="AFW30" s="5"/>
      <c r="AFX30" s="5"/>
      <c r="AFY30" s="5"/>
      <c r="AFZ30" s="5"/>
      <c r="AGA30" s="5"/>
      <c r="AGB30" s="5"/>
      <c r="AGC30" s="5"/>
      <c r="AGD30" s="5"/>
      <c r="AGE30" s="5"/>
      <c r="AGF30" s="5"/>
      <c r="AGG30" s="5"/>
      <c r="AGH30" s="5"/>
      <c r="AGI30" s="5"/>
      <c r="AGJ30" s="5"/>
      <c r="AGK30" s="5"/>
      <c r="AGL30" s="5"/>
      <c r="AGM30" s="5"/>
      <c r="AGN30" s="5"/>
      <c r="AGO30" s="5"/>
      <c r="AGP30" s="5"/>
      <c r="AGQ30" s="5"/>
      <c r="AGR30" s="5"/>
      <c r="AGS30" s="5"/>
      <c r="AGT30" s="5"/>
      <c r="AGU30" s="5"/>
      <c r="AGV30" s="5"/>
      <c r="AGW30" s="5"/>
      <c r="AGX30" s="5"/>
      <c r="AGY30" s="5"/>
      <c r="AGZ30" s="5"/>
      <c r="AHA30" s="5"/>
      <c r="AHB30" s="5"/>
      <c r="AHC30" s="5"/>
      <c r="AHD30" s="5"/>
      <c r="AHE30" s="5"/>
      <c r="AHF30" s="5"/>
      <c r="AHG30" s="5"/>
      <c r="AHH30" s="5"/>
      <c r="AHI30" s="5"/>
      <c r="AHJ30" s="5"/>
      <c r="AHK30" s="5"/>
      <c r="AHL30" s="5"/>
      <c r="AHM30" s="5"/>
      <c r="AHN30" s="5"/>
      <c r="AHO30" s="5"/>
      <c r="AHP30" s="5"/>
      <c r="AHQ30" s="5"/>
      <c r="AHR30" s="5"/>
      <c r="AHS30" s="5"/>
      <c r="AHT30" s="5"/>
      <c r="AHU30" s="5"/>
      <c r="AHV30" s="5"/>
      <c r="AHW30" s="5"/>
      <c r="AHX30" s="5"/>
      <c r="AHY30" s="5"/>
      <c r="AHZ30" s="5"/>
      <c r="AIA30" s="5"/>
      <c r="AIB30" s="5"/>
      <c r="AIC30" s="5"/>
      <c r="AID30" s="5"/>
      <c r="AIE30" s="5"/>
      <c r="AIF30" s="5"/>
      <c r="AIG30" s="5"/>
      <c r="AIH30" s="5"/>
      <c r="AII30" s="5"/>
      <c r="AIJ30" s="5"/>
      <c r="AIK30" s="5"/>
      <c r="AIL30" s="5"/>
      <c r="AIM30" s="5"/>
      <c r="AIN30" s="5"/>
      <c r="AIO30" s="5"/>
      <c r="AIP30" s="5"/>
      <c r="AIQ30" s="5"/>
      <c r="AIR30" s="5"/>
      <c r="AIS30" s="5"/>
      <c r="AIT30" s="5"/>
      <c r="AIU30" s="5"/>
      <c r="AIV30" s="5"/>
      <c r="AIW30" s="5"/>
      <c r="AIX30" s="5"/>
      <c r="AIY30" s="5"/>
      <c r="AIZ30" s="5"/>
      <c r="AJA30" s="5"/>
      <c r="AJB30" s="5"/>
      <c r="AJC30" s="5"/>
      <c r="AJD30" s="5"/>
      <c r="AJE30" s="5"/>
      <c r="AJF30" s="5"/>
      <c r="AJG30" s="5"/>
      <c r="AJH30" s="5"/>
      <c r="AJI30" s="5"/>
      <c r="AJJ30" s="5"/>
      <c r="AJK30" s="5"/>
      <c r="AJL30" s="5"/>
      <c r="AJM30" s="5"/>
      <c r="AJN30" s="5"/>
      <c r="AJO30" s="5"/>
      <c r="AJP30" s="5"/>
      <c r="AJQ30" s="5"/>
      <c r="AJR30" s="5"/>
      <c r="AJS30" s="5"/>
      <c r="AJT30" s="5"/>
      <c r="AJU30" s="5"/>
      <c r="AJV30" s="5"/>
      <c r="AJW30" s="5"/>
      <c r="AJX30" s="5"/>
      <c r="AJY30" s="5"/>
      <c r="AJZ30" s="5"/>
      <c r="AKA30" s="5"/>
      <c r="AKB30" s="5"/>
      <c r="AKC30" s="5"/>
      <c r="AKD30" s="5"/>
      <c r="AKE30" s="5"/>
      <c r="AKF30" s="5"/>
      <c r="AKG30" s="5"/>
      <c r="AKH30" s="5"/>
      <c r="AKI30" s="5"/>
      <c r="AKJ30" s="5"/>
      <c r="AKK30" s="5"/>
      <c r="AKL30" s="5"/>
      <c r="AKM30" s="5"/>
      <c r="AKN30" s="5"/>
      <c r="AKO30" s="5"/>
      <c r="AKP30" s="5"/>
      <c r="AKQ30" s="5"/>
      <c r="AKR30" s="5"/>
      <c r="AKS30" s="5"/>
      <c r="AKT30" s="5"/>
      <c r="AKU30" s="5"/>
      <c r="AKV30" s="5"/>
      <c r="AKW30" s="5"/>
      <c r="AKX30" s="5"/>
      <c r="AKY30" s="5"/>
      <c r="AKZ30" s="5"/>
      <c r="ALA30" s="5"/>
      <c r="ALB30" s="5"/>
      <c r="ALC30" s="5"/>
      <c r="ALD30" s="5"/>
      <c r="ALE30" s="5"/>
      <c r="ALF30" s="5"/>
      <c r="ALG30" s="5"/>
      <c r="ALH30" s="5"/>
      <c r="ALI30" s="5"/>
      <c r="ALJ30" s="5"/>
      <c r="ALK30" s="5"/>
      <c r="ALL30" s="5"/>
    </row>
    <row r="31" spans="1:1000" customFormat="1" ht="14.25" customHeight="1" x14ac:dyDescent="0.25">
      <c r="A31" s="5" t="str">
        <f ca="1">IF(MOD(_xll.DIMIX("smartco:Version",$C31),2)=0,"D","N")</f>
        <v>N</v>
      </c>
      <c r="B31" s="5"/>
      <c r="C31" s="7" t="s">
        <v>117</v>
      </c>
      <c r="D31" s="8" t="str">
        <f ca="1">_xll.DBRW($C$9,$C31,D$12)</f>
        <v>Predictive</v>
      </c>
      <c r="E31" s="27" t="str">
        <f ca="1">_xll.DBRW($C$9,$C31,E$12)</f>
        <v>Predictive</v>
      </c>
      <c r="F31" s="25">
        <f ca="1">_xll.DBRW($C$9,$C31,F$12)</f>
        <v>1</v>
      </c>
      <c r="G31" s="25" t="str">
        <f ca="1">_xll.DBRW($C$9,$C31,G$12)</f>
        <v>B</v>
      </c>
      <c r="H31" s="25" t="str">
        <f ca="1">_xll.DBRW($C$9,$C31,H$12)</f>
        <v>Y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  <c r="AAA31" s="5"/>
      <c r="AAB31" s="5"/>
      <c r="AAC31" s="5"/>
      <c r="AAD31" s="5"/>
      <c r="AAE31" s="5"/>
      <c r="AAF31" s="5"/>
      <c r="AAG31" s="5"/>
      <c r="AAH31" s="5"/>
      <c r="AAI31" s="5"/>
      <c r="AAJ31" s="5"/>
      <c r="AAK31" s="5"/>
      <c r="AAL31" s="5"/>
      <c r="AAM31" s="5"/>
      <c r="AAN31" s="5"/>
      <c r="AAO31" s="5"/>
      <c r="AAP31" s="5"/>
      <c r="AAQ31" s="5"/>
      <c r="AAR31" s="5"/>
      <c r="AAS31" s="5"/>
      <c r="AAT31" s="5"/>
      <c r="AAU31" s="5"/>
      <c r="AAV31" s="5"/>
      <c r="AAW31" s="5"/>
      <c r="AAX31" s="5"/>
      <c r="AAY31" s="5"/>
      <c r="AAZ31" s="5"/>
      <c r="ABA31" s="5"/>
      <c r="ABB31" s="5"/>
      <c r="ABC31" s="5"/>
      <c r="ABD31" s="5"/>
      <c r="ABE31" s="5"/>
      <c r="ABF31" s="5"/>
      <c r="ABG31" s="5"/>
      <c r="ABH31" s="5"/>
      <c r="ABI31" s="5"/>
      <c r="ABJ31" s="5"/>
      <c r="ABK31" s="5"/>
      <c r="ABL31" s="5"/>
      <c r="ABM31" s="5"/>
      <c r="ABN31" s="5"/>
      <c r="ABO31" s="5"/>
      <c r="ABP31" s="5"/>
      <c r="ABQ31" s="5"/>
      <c r="ABR31" s="5"/>
      <c r="ABS31" s="5"/>
      <c r="ABT31" s="5"/>
      <c r="ABU31" s="5"/>
      <c r="ABV31" s="5"/>
      <c r="ABW31" s="5"/>
      <c r="ABX31" s="5"/>
      <c r="ABY31" s="5"/>
      <c r="ABZ31" s="5"/>
      <c r="ACA31" s="5"/>
      <c r="ACB31" s="5"/>
      <c r="ACC31" s="5"/>
      <c r="ACD31" s="5"/>
      <c r="ACE31" s="5"/>
      <c r="ACF31" s="5"/>
      <c r="ACG31" s="5"/>
      <c r="ACH31" s="5"/>
      <c r="ACI31" s="5"/>
      <c r="ACJ31" s="5"/>
      <c r="ACK31" s="5"/>
      <c r="ACL31" s="5"/>
      <c r="ACM31" s="5"/>
      <c r="ACN31" s="5"/>
      <c r="ACO31" s="5"/>
      <c r="ACP31" s="5"/>
      <c r="ACQ31" s="5"/>
      <c r="ACR31" s="5"/>
      <c r="ACS31" s="5"/>
      <c r="ACT31" s="5"/>
      <c r="ACU31" s="5"/>
      <c r="ACV31" s="5"/>
      <c r="ACW31" s="5"/>
      <c r="ACX31" s="5"/>
      <c r="ACY31" s="5"/>
      <c r="ACZ31" s="5"/>
      <c r="ADA31" s="5"/>
      <c r="ADB31" s="5"/>
      <c r="ADC31" s="5"/>
      <c r="ADD31" s="5"/>
      <c r="ADE31" s="5"/>
      <c r="ADF31" s="5"/>
      <c r="ADG31" s="5"/>
      <c r="ADH31" s="5"/>
      <c r="ADI31" s="5"/>
      <c r="ADJ31" s="5"/>
      <c r="ADK31" s="5"/>
      <c r="ADL31" s="5"/>
      <c r="ADM31" s="5"/>
      <c r="ADN31" s="5"/>
      <c r="ADO31" s="5"/>
      <c r="ADP31" s="5"/>
      <c r="ADQ31" s="5"/>
      <c r="ADR31" s="5"/>
      <c r="ADS31" s="5"/>
      <c r="ADT31" s="5"/>
      <c r="ADU31" s="5"/>
      <c r="ADV31" s="5"/>
      <c r="ADW31" s="5"/>
      <c r="ADX31" s="5"/>
      <c r="ADY31" s="5"/>
      <c r="ADZ31" s="5"/>
      <c r="AEA31" s="5"/>
      <c r="AEB31" s="5"/>
      <c r="AEC31" s="5"/>
      <c r="AED31" s="5"/>
      <c r="AEE31" s="5"/>
      <c r="AEF31" s="5"/>
      <c r="AEG31" s="5"/>
      <c r="AEH31" s="5"/>
      <c r="AEI31" s="5"/>
      <c r="AEJ31" s="5"/>
      <c r="AEK31" s="5"/>
      <c r="AEL31" s="5"/>
      <c r="AEM31" s="5"/>
      <c r="AEN31" s="5"/>
      <c r="AEO31" s="5"/>
      <c r="AEP31" s="5"/>
      <c r="AEQ31" s="5"/>
      <c r="AER31" s="5"/>
      <c r="AES31" s="5"/>
      <c r="AET31" s="5"/>
      <c r="AEU31" s="5"/>
      <c r="AEV31" s="5"/>
      <c r="AEW31" s="5"/>
      <c r="AEX31" s="5"/>
      <c r="AEY31" s="5"/>
      <c r="AEZ31" s="5"/>
      <c r="AFA31" s="5"/>
      <c r="AFB31" s="5"/>
      <c r="AFC31" s="5"/>
      <c r="AFD31" s="5"/>
      <c r="AFE31" s="5"/>
      <c r="AFF31" s="5"/>
      <c r="AFG31" s="5"/>
      <c r="AFH31" s="5"/>
      <c r="AFI31" s="5"/>
      <c r="AFJ31" s="5"/>
      <c r="AFK31" s="5"/>
      <c r="AFL31" s="5"/>
      <c r="AFM31" s="5"/>
      <c r="AFN31" s="5"/>
      <c r="AFO31" s="5"/>
      <c r="AFP31" s="5"/>
      <c r="AFQ31" s="5"/>
      <c r="AFR31" s="5"/>
      <c r="AFS31" s="5"/>
      <c r="AFT31" s="5"/>
      <c r="AFU31" s="5"/>
      <c r="AFV31" s="5"/>
      <c r="AFW31" s="5"/>
      <c r="AFX31" s="5"/>
      <c r="AFY31" s="5"/>
      <c r="AFZ31" s="5"/>
      <c r="AGA31" s="5"/>
      <c r="AGB31" s="5"/>
      <c r="AGC31" s="5"/>
      <c r="AGD31" s="5"/>
      <c r="AGE31" s="5"/>
      <c r="AGF31" s="5"/>
      <c r="AGG31" s="5"/>
      <c r="AGH31" s="5"/>
      <c r="AGI31" s="5"/>
      <c r="AGJ31" s="5"/>
      <c r="AGK31" s="5"/>
      <c r="AGL31" s="5"/>
      <c r="AGM31" s="5"/>
      <c r="AGN31" s="5"/>
      <c r="AGO31" s="5"/>
      <c r="AGP31" s="5"/>
      <c r="AGQ31" s="5"/>
      <c r="AGR31" s="5"/>
      <c r="AGS31" s="5"/>
      <c r="AGT31" s="5"/>
      <c r="AGU31" s="5"/>
      <c r="AGV31" s="5"/>
      <c r="AGW31" s="5"/>
      <c r="AGX31" s="5"/>
      <c r="AGY31" s="5"/>
      <c r="AGZ31" s="5"/>
      <c r="AHA31" s="5"/>
      <c r="AHB31" s="5"/>
      <c r="AHC31" s="5"/>
      <c r="AHD31" s="5"/>
      <c r="AHE31" s="5"/>
      <c r="AHF31" s="5"/>
      <c r="AHG31" s="5"/>
      <c r="AHH31" s="5"/>
      <c r="AHI31" s="5"/>
      <c r="AHJ31" s="5"/>
      <c r="AHK31" s="5"/>
      <c r="AHL31" s="5"/>
      <c r="AHM31" s="5"/>
      <c r="AHN31" s="5"/>
      <c r="AHO31" s="5"/>
      <c r="AHP31" s="5"/>
      <c r="AHQ31" s="5"/>
      <c r="AHR31" s="5"/>
      <c r="AHS31" s="5"/>
      <c r="AHT31" s="5"/>
      <c r="AHU31" s="5"/>
      <c r="AHV31" s="5"/>
      <c r="AHW31" s="5"/>
      <c r="AHX31" s="5"/>
      <c r="AHY31" s="5"/>
      <c r="AHZ31" s="5"/>
      <c r="AIA31" s="5"/>
      <c r="AIB31" s="5"/>
      <c r="AIC31" s="5"/>
      <c r="AID31" s="5"/>
      <c r="AIE31" s="5"/>
      <c r="AIF31" s="5"/>
      <c r="AIG31" s="5"/>
      <c r="AIH31" s="5"/>
      <c r="AII31" s="5"/>
      <c r="AIJ31" s="5"/>
      <c r="AIK31" s="5"/>
      <c r="AIL31" s="5"/>
      <c r="AIM31" s="5"/>
      <c r="AIN31" s="5"/>
      <c r="AIO31" s="5"/>
      <c r="AIP31" s="5"/>
      <c r="AIQ31" s="5"/>
      <c r="AIR31" s="5"/>
      <c r="AIS31" s="5"/>
      <c r="AIT31" s="5"/>
      <c r="AIU31" s="5"/>
      <c r="AIV31" s="5"/>
      <c r="AIW31" s="5"/>
      <c r="AIX31" s="5"/>
      <c r="AIY31" s="5"/>
      <c r="AIZ31" s="5"/>
      <c r="AJA31" s="5"/>
      <c r="AJB31" s="5"/>
      <c r="AJC31" s="5"/>
      <c r="AJD31" s="5"/>
      <c r="AJE31" s="5"/>
      <c r="AJF31" s="5"/>
      <c r="AJG31" s="5"/>
      <c r="AJH31" s="5"/>
      <c r="AJI31" s="5"/>
      <c r="AJJ31" s="5"/>
      <c r="AJK31" s="5"/>
      <c r="AJL31" s="5"/>
      <c r="AJM31" s="5"/>
      <c r="AJN31" s="5"/>
      <c r="AJO31" s="5"/>
      <c r="AJP31" s="5"/>
      <c r="AJQ31" s="5"/>
      <c r="AJR31" s="5"/>
      <c r="AJS31" s="5"/>
      <c r="AJT31" s="5"/>
      <c r="AJU31" s="5"/>
      <c r="AJV31" s="5"/>
      <c r="AJW31" s="5"/>
      <c r="AJX31" s="5"/>
      <c r="AJY31" s="5"/>
      <c r="AJZ31" s="5"/>
      <c r="AKA31" s="5"/>
      <c r="AKB31" s="5"/>
      <c r="AKC31" s="5"/>
      <c r="AKD31" s="5"/>
      <c r="AKE31" s="5"/>
      <c r="AKF31" s="5"/>
      <c r="AKG31" s="5"/>
      <c r="AKH31" s="5"/>
      <c r="AKI31" s="5"/>
      <c r="AKJ31" s="5"/>
      <c r="AKK31" s="5"/>
      <c r="AKL31" s="5"/>
      <c r="AKM31" s="5"/>
      <c r="AKN31" s="5"/>
      <c r="AKO31" s="5"/>
      <c r="AKP31" s="5"/>
      <c r="AKQ31" s="5"/>
      <c r="AKR31" s="5"/>
      <c r="AKS31" s="5"/>
      <c r="AKT31" s="5"/>
      <c r="AKU31" s="5"/>
      <c r="AKV31" s="5"/>
      <c r="AKW31" s="5"/>
      <c r="AKX31" s="5"/>
      <c r="AKY31" s="5"/>
      <c r="AKZ31" s="5"/>
      <c r="ALA31" s="5"/>
      <c r="ALB31" s="5"/>
      <c r="ALC31" s="5"/>
      <c r="ALD31" s="5"/>
      <c r="ALE31" s="5"/>
      <c r="ALF31" s="5"/>
      <c r="ALG31" s="5"/>
      <c r="ALH31" s="5"/>
      <c r="ALI31" s="5"/>
      <c r="ALJ31" s="5"/>
      <c r="ALK31" s="5"/>
      <c r="ALL31" s="5"/>
    </row>
    <row r="32" spans="1:1000" customFormat="1" ht="14.25" customHeight="1" x14ac:dyDescent="0.25">
      <c r="A32" s="5" t="str">
        <f ca="1">IF(MOD(_xll.DIMIX("smartco:Version",$C32),2)=0,"D","N")</f>
        <v>D</v>
      </c>
      <c r="B32" s="5"/>
      <c r="C32" s="35" t="s">
        <v>118</v>
      </c>
      <c r="D32" s="32" t="str">
        <f ca="1">_xll.DBRW($C$9,$C32,D$12)</f>
        <v>Predictivev2</v>
      </c>
      <c r="E32" s="33" t="str">
        <f ca="1">_xll.DBRW($C$9,$C32,E$12)</f>
        <v/>
      </c>
      <c r="F32" s="34">
        <f ca="1">_xll.DBRW($C$9,$C32,F$12)</f>
        <v>1</v>
      </c>
      <c r="G32" s="34" t="str">
        <f ca="1">_xll.DBRW($C$9,$C32,G$12)</f>
        <v>A</v>
      </c>
      <c r="H32" s="34" t="str">
        <f ca="1">_xll.DBRW($C$9,$C32,H$12)</f>
        <v>Y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  <c r="AAA32" s="5"/>
      <c r="AAB32" s="5"/>
      <c r="AAC32" s="5"/>
      <c r="AAD32" s="5"/>
      <c r="AAE32" s="5"/>
      <c r="AAF32" s="5"/>
      <c r="AAG32" s="5"/>
      <c r="AAH32" s="5"/>
      <c r="AAI32" s="5"/>
      <c r="AAJ32" s="5"/>
      <c r="AAK32" s="5"/>
      <c r="AAL32" s="5"/>
      <c r="AAM32" s="5"/>
      <c r="AAN32" s="5"/>
      <c r="AAO32" s="5"/>
      <c r="AAP32" s="5"/>
      <c r="AAQ32" s="5"/>
      <c r="AAR32" s="5"/>
      <c r="AAS32" s="5"/>
      <c r="AAT32" s="5"/>
      <c r="AAU32" s="5"/>
      <c r="AAV32" s="5"/>
      <c r="AAW32" s="5"/>
      <c r="AAX32" s="5"/>
      <c r="AAY32" s="5"/>
      <c r="AAZ32" s="5"/>
      <c r="ABA32" s="5"/>
      <c r="ABB32" s="5"/>
      <c r="ABC32" s="5"/>
      <c r="ABD32" s="5"/>
      <c r="ABE32" s="5"/>
      <c r="ABF32" s="5"/>
      <c r="ABG32" s="5"/>
      <c r="ABH32" s="5"/>
      <c r="ABI32" s="5"/>
      <c r="ABJ32" s="5"/>
      <c r="ABK32" s="5"/>
      <c r="ABL32" s="5"/>
      <c r="ABM32" s="5"/>
      <c r="ABN32" s="5"/>
      <c r="ABO32" s="5"/>
      <c r="ABP32" s="5"/>
      <c r="ABQ32" s="5"/>
      <c r="ABR32" s="5"/>
      <c r="ABS32" s="5"/>
      <c r="ABT32" s="5"/>
      <c r="ABU32" s="5"/>
      <c r="ABV32" s="5"/>
      <c r="ABW32" s="5"/>
      <c r="ABX32" s="5"/>
      <c r="ABY32" s="5"/>
      <c r="ABZ32" s="5"/>
      <c r="ACA32" s="5"/>
      <c r="ACB32" s="5"/>
      <c r="ACC32" s="5"/>
      <c r="ACD32" s="5"/>
      <c r="ACE32" s="5"/>
      <c r="ACF32" s="5"/>
      <c r="ACG32" s="5"/>
      <c r="ACH32" s="5"/>
      <c r="ACI32" s="5"/>
      <c r="ACJ32" s="5"/>
      <c r="ACK32" s="5"/>
      <c r="ACL32" s="5"/>
      <c r="ACM32" s="5"/>
      <c r="ACN32" s="5"/>
      <c r="ACO32" s="5"/>
      <c r="ACP32" s="5"/>
      <c r="ACQ32" s="5"/>
      <c r="ACR32" s="5"/>
      <c r="ACS32" s="5"/>
      <c r="ACT32" s="5"/>
      <c r="ACU32" s="5"/>
      <c r="ACV32" s="5"/>
      <c r="ACW32" s="5"/>
      <c r="ACX32" s="5"/>
      <c r="ACY32" s="5"/>
      <c r="ACZ32" s="5"/>
      <c r="ADA32" s="5"/>
      <c r="ADB32" s="5"/>
      <c r="ADC32" s="5"/>
      <c r="ADD32" s="5"/>
      <c r="ADE32" s="5"/>
      <c r="ADF32" s="5"/>
      <c r="ADG32" s="5"/>
      <c r="ADH32" s="5"/>
      <c r="ADI32" s="5"/>
      <c r="ADJ32" s="5"/>
      <c r="ADK32" s="5"/>
      <c r="ADL32" s="5"/>
      <c r="ADM32" s="5"/>
      <c r="ADN32" s="5"/>
      <c r="ADO32" s="5"/>
      <c r="ADP32" s="5"/>
      <c r="ADQ32" s="5"/>
      <c r="ADR32" s="5"/>
      <c r="ADS32" s="5"/>
      <c r="ADT32" s="5"/>
      <c r="ADU32" s="5"/>
      <c r="ADV32" s="5"/>
      <c r="ADW32" s="5"/>
      <c r="ADX32" s="5"/>
      <c r="ADY32" s="5"/>
      <c r="ADZ32" s="5"/>
      <c r="AEA32" s="5"/>
      <c r="AEB32" s="5"/>
      <c r="AEC32" s="5"/>
      <c r="AED32" s="5"/>
      <c r="AEE32" s="5"/>
      <c r="AEF32" s="5"/>
      <c r="AEG32" s="5"/>
      <c r="AEH32" s="5"/>
      <c r="AEI32" s="5"/>
      <c r="AEJ32" s="5"/>
      <c r="AEK32" s="5"/>
      <c r="AEL32" s="5"/>
      <c r="AEM32" s="5"/>
      <c r="AEN32" s="5"/>
      <c r="AEO32" s="5"/>
      <c r="AEP32" s="5"/>
      <c r="AEQ32" s="5"/>
      <c r="AER32" s="5"/>
      <c r="AES32" s="5"/>
      <c r="AET32" s="5"/>
      <c r="AEU32" s="5"/>
      <c r="AEV32" s="5"/>
      <c r="AEW32" s="5"/>
      <c r="AEX32" s="5"/>
      <c r="AEY32" s="5"/>
      <c r="AEZ32" s="5"/>
      <c r="AFA32" s="5"/>
      <c r="AFB32" s="5"/>
      <c r="AFC32" s="5"/>
      <c r="AFD32" s="5"/>
      <c r="AFE32" s="5"/>
      <c r="AFF32" s="5"/>
      <c r="AFG32" s="5"/>
      <c r="AFH32" s="5"/>
      <c r="AFI32" s="5"/>
      <c r="AFJ32" s="5"/>
      <c r="AFK32" s="5"/>
      <c r="AFL32" s="5"/>
      <c r="AFM32" s="5"/>
      <c r="AFN32" s="5"/>
      <c r="AFO32" s="5"/>
      <c r="AFP32" s="5"/>
      <c r="AFQ32" s="5"/>
      <c r="AFR32" s="5"/>
      <c r="AFS32" s="5"/>
      <c r="AFT32" s="5"/>
      <c r="AFU32" s="5"/>
      <c r="AFV32" s="5"/>
      <c r="AFW32" s="5"/>
      <c r="AFX32" s="5"/>
      <c r="AFY32" s="5"/>
      <c r="AFZ32" s="5"/>
      <c r="AGA32" s="5"/>
      <c r="AGB32" s="5"/>
      <c r="AGC32" s="5"/>
      <c r="AGD32" s="5"/>
      <c r="AGE32" s="5"/>
      <c r="AGF32" s="5"/>
      <c r="AGG32" s="5"/>
      <c r="AGH32" s="5"/>
      <c r="AGI32" s="5"/>
      <c r="AGJ32" s="5"/>
      <c r="AGK32" s="5"/>
      <c r="AGL32" s="5"/>
      <c r="AGM32" s="5"/>
      <c r="AGN32" s="5"/>
      <c r="AGO32" s="5"/>
      <c r="AGP32" s="5"/>
      <c r="AGQ32" s="5"/>
      <c r="AGR32" s="5"/>
      <c r="AGS32" s="5"/>
      <c r="AGT32" s="5"/>
      <c r="AGU32" s="5"/>
      <c r="AGV32" s="5"/>
      <c r="AGW32" s="5"/>
      <c r="AGX32" s="5"/>
      <c r="AGY32" s="5"/>
      <c r="AGZ32" s="5"/>
      <c r="AHA32" s="5"/>
      <c r="AHB32" s="5"/>
      <c r="AHC32" s="5"/>
      <c r="AHD32" s="5"/>
      <c r="AHE32" s="5"/>
      <c r="AHF32" s="5"/>
      <c r="AHG32" s="5"/>
      <c r="AHH32" s="5"/>
      <c r="AHI32" s="5"/>
      <c r="AHJ32" s="5"/>
      <c r="AHK32" s="5"/>
      <c r="AHL32" s="5"/>
      <c r="AHM32" s="5"/>
      <c r="AHN32" s="5"/>
      <c r="AHO32" s="5"/>
      <c r="AHP32" s="5"/>
      <c r="AHQ32" s="5"/>
      <c r="AHR32" s="5"/>
      <c r="AHS32" s="5"/>
      <c r="AHT32" s="5"/>
      <c r="AHU32" s="5"/>
      <c r="AHV32" s="5"/>
      <c r="AHW32" s="5"/>
      <c r="AHX32" s="5"/>
      <c r="AHY32" s="5"/>
      <c r="AHZ32" s="5"/>
      <c r="AIA32" s="5"/>
      <c r="AIB32" s="5"/>
      <c r="AIC32" s="5"/>
      <c r="AID32" s="5"/>
      <c r="AIE32" s="5"/>
      <c r="AIF32" s="5"/>
      <c r="AIG32" s="5"/>
      <c r="AIH32" s="5"/>
      <c r="AII32" s="5"/>
      <c r="AIJ32" s="5"/>
      <c r="AIK32" s="5"/>
      <c r="AIL32" s="5"/>
      <c r="AIM32" s="5"/>
      <c r="AIN32" s="5"/>
      <c r="AIO32" s="5"/>
      <c r="AIP32" s="5"/>
      <c r="AIQ32" s="5"/>
      <c r="AIR32" s="5"/>
      <c r="AIS32" s="5"/>
      <c r="AIT32" s="5"/>
      <c r="AIU32" s="5"/>
      <c r="AIV32" s="5"/>
      <c r="AIW32" s="5"/>
      <c r="AIX32" s="5"/>
      <c r="AIY32" s="5"/>
      <c r="AIZ32" s="5"/>
      <c r="AJA32" s="5"/>
      <c r="AJB32" s="5"/>
      <c r="AJC32" s="5"/>
      <c r="AJD32" s="5"/>
      <c r="AJE32" s="5"/>
      <c r="AJF32" s="5"/>
      <c r="AJG32" s="5"/>
      <c r="AJH32" s="5"/>
      <c r="AJI32" s="5"/>
      <c r="AJJ32" s="5"/>
      <c r="AJK32" s="5"/>
      <c r="AJL32" s="5"/>
      <c r="AJM32" s="5"/>
      <c r="AJN32" s="5"/>
      <c r="AJO32" s="5"/>
      <c r="AJP32" s="5"/>
      <c r="AJQ32" s="5"/>
      <c r="AJR32" s="5"/>
      <c r="AJS32" s="5"/>
      <c r="AJT32" s="5"/>
      <c r="AJU32" s="5"/>
      <c r="AJV32" s="5"/>
      <c r="AJW32" s="5"/>
      <c r="AJX32" s="5"/>
      <c r="AJY32" s="5"/>
      <c r="AJZ32" s="5"/>
      <c r="AKA32" s="5"/>
      <c r="AKB32" s="5"/>
      <c r="AKC32" s="5"/>
      <c r="AKD32" s="5"/>
      <c r="AKE32" s="5"/>
      <c r="AKF32" s="5"/>
      <c r="AKG32" s="5"/>
      <c r="AKH32" s="5"/>
      <c r="AKI32" s="5"/>
      <c r="AKJ32" s="5"/>
      <c r="AKK32" s="5"/>
      <c r="AKL32" s="5"/>
      <c r="AKM32" s="5"/>
      <c r="AKN32" s="5"/>
      <c r="AKO32" s="5"/>
      <c r="AKP32" s="5"/>
      <c r="AKQ32" s="5"/>
      <c r="AKR32" s="5"/>
      <c r="AKS32" s="5"/>
      <c r="AKT32" s="5"/>
      <c r="AKU32" s="5"/>
      <c r="AKV32" s="5"/>
      <c r="AKW32" s="5"/>
      <c r="AKX32" s="5"/>
      <c r="AKY32" s="5"/>
      <c r="AKZ32" s="5"/>
      <c r="ALA32" s="5"/>
      <c r="ALB32" s="5"/>
      <c r="ALC32" s="5"/>
      <c r="ALD32" s="5"/>
      <c r="ALE32" s="5"/>
      <c r="ALF32" s="5"/>
      <c r="ALG32" s="5"/>
      <c r="ALH32" s="5"/>
      <c r="ALI32" s="5"/>
      <c r="ALJ32" s="5"/>
      <c r="ALK32" s="5"/>
      <c r="ALL32" s="5"/>
    </row>
    <row r="33" spans="1:1000" customFormat="1" ht="14.25" customHeight="1" x14ac:dyDescent="0.25">
      <c r="A33" s="5" t="str">
        <f ca="1">IF(MOD(_xll.DIMIX("smartco:Version",$C33),2)=0,"D","N")</f>
        <v>N</v>
      </c>
      <c r="B33" s="5"/>
      <c r="C33" s="7" t="s">
        <v>153</v>
      </c>
      <c r="D33" s="8" t="str">
        <f ca="1">_xll.DBRW($C$9,$C33,D$12)</f>
        <v/>
      </c>
      <c r="E33" s="27" t="str">
        <f ca="1">_xll.DBRW($C$9,$C33,E$12)</f>
        <v>guysc1</v>
      </c>
      <c r="F33" s="25">
        <f ca="1">_xll.DBRW($C$9,$C33,F$12)</f>
        <v>1</v>
      </c>
      <c r="G33" s="25" t="str">
        <f ca="1">_xll.DBRW($C$9,$C33,G$12)</f>
        <v>B</v>
      </c>
      <c r="H33" s="25" t="str">
        <f ca="1">_xll.DBRW($C$9,$C33,H$12)</f>
        <v/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  <c r="ALH33" s="5"/>
      <c r="ALI33" s="5"/>
      <c r="ALJ33" s="5"/>
      <c r="ALK33" s="5"/>
      <c r="ALL33" s="5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5" r:id="rId4" name="TIButton3">
          <controlPr defaultSize="0" print="0" autoLine="0" autoPict="0" r:id="rId5">
            <anchor moveWithCells="1">
              <from>
                <xdr:col>5</xdr:col>
                <xdr:colOff>438150</xdr:colOff>
                <xdr:row>9</xdr:row>
                <xdr:rowOff>38100</xdr:rowOff>
              </from>
              <to>
                <xdr:col>6</xdr:col>
                <xdr:colOff>600075</xdr:colOff>
                <xdr:row>9</xdr:row>
                <xdr:rowOff>276225</xdr:rowOff>
              </to>
            </anchor>
          </controlPr>
        </control>
      </mc:Choice>
      <mc:Fallback>
        <control shapeId="3075" r:id="rId4" name="TIButton3"/>
      </mc:Fallback>
    </mc:AlternateContent>
    <mc:AlternateContent xmlns:mc="http://schemas.openxmlformats.org/markup-compatibility/2006">
      <mc:Choice Requires="x14">
        <control shapeId="3074" r:id="rId6" name="TIButton2">
          <controlPr defaultSize="0" print="0" autoLine="0" autoPict="0" r:id="rId7">
            <anchor moveWithCells="1">
              <from>
                <xdr:col>6</xdr:col>
                <xdr:colOff>676275</xdr:colOff>
                <xdr:row>9</xdr:row>
                <xdr:rowOff>28575</xdr:rowOff>
              </from>
              <to>
                <xdr:col>7</xdr:col>
                <xdr:colOff>952500</xdr:colOff>
                <xdr:row>9</xdr:row>
                <xdr:rowOff>266700</xdr:rowOff>
              </to>
            </anchor>
          </controlPr>
        </control>
      </mc:Choice>
      <mc:Fallback>
        <control shapeId="3074" r:id="rId6" name="TI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sheetData>
    <row r="1" spans="1:2" s="1" customFormat="1" x14ac:dyDescent="0.25">
      <c r="A1" s="1" t="s">
        <v>2</v>
      </c>
      <c r="B1" s="1" t="s">
        <v>11</v>
      </c>
    </row>
    <row r="2" spans="1:2" x14ac:dyDescent="0.25">
      <c r="A2" t="s">
        <v>15</v>
      </c>
      <c r="B2" t="s">
        <v>9</v>
      </c>
    </row>
    <row r="3" spans="1:2" x14ac:dyDescent="0.25">
      <c r="A3" t="s">
        <v>16</v>
      </c>
      <c r="B3" t="s">
        <v>10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0"/>
  <sheetViews>
    <sheetView workbookViewId="0"/>
  </sheetViews>
  <sheetFormatPr defaultRowHeight="15" x14ac:dyDescent="0.25"/>
  <sheetData>
    <row r="1" spans="1:1" x14ac:dyDescent="0.25">
      <c r="A1" t="s">
        <v>111</v>
      </c>
    </row>
    <row r="2" spans="1:1" x14ac:dyDescent="0.25">
      <c r="A2" t="s">
        <v>112</v>
      </c>
    </row>
    <row r="3" spans="1:1" x14ac:dyDescent="0.25">
      <c r="A3" t="s">
        <v>113</v>
      </c>
    </row>
    <row r="4" spans="1:1" x14ac:dyDescent="0.25">
      <c r="A4" t="s">
        <v>22</v>
      </c>
    </row>
    <row r="5" spans="1:1" x14ac:dyDescent="0.25">
      <c r="A5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30</v>
      </c>
    </row>
    <row r="13" spans="1:1" x14ac:dyDescent="0.25">
      <c r="A13" t="s">
        <v>31</v>
      </c>
    </row>
    <row r="14" spans="1:1" x14ac:dyDescent="0.25">
      <c r="A14" t="s">
        <v>32</v>
      </c>
    </row>
    <row r="15" spans="1:1" x14ac:dyDescent="0.25">
      <c r="A15" t="s">
        <v>13</v>
      </c>
    </row>
    <row r="16" spans="1:1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14</v>
      </c>
    </row>
    <row r="19" spans="1:1" x14ac:dyDescent="0.25">
      <c r="A19" t="s">
        <v>17</v>
      </c>
    </row>
    <row r="20" spans="1:1" x14ac:dyDescent="0.25">
      <c r="A20" t="s">
        <v>19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L25"/>
  <sheetViews>
    <sheetView showGridLines="0" topLeftCell="B10" workbookViewId="0">
      <selection activeCell="C33" sqref="C33"/>
    </sheetView>
  </sheetViews>
  <sheetFormatPr defaultRowHeight="12" x14ac:dyDescent="0.2"/>
  <cols>
    <col min="1" max="1" width="2.7109375" style="2" hidden="1" customWidth="1"/>
    <col min="2" max="2" width="2.7109375" style="2" customWidth="1"/>
    <col min="3" max="3" width="17.85546875" style="2" customWidth="1"/>
    <col min="4" max="4" width="23.140625" style="2" bestFit="1" customWidth="1"/>
    <col min="5" max="16384" width="9.140625" style="2"/>
  </cols>
  <sheetData>
    <row r="1" spans="1:6" hidden="1" x14ac:dyDescent="0.2">
      <c r="A1" s="2" t="s">
        <v>36</v>
      </c>
    </row>
    <row r="2" spans="1:6" hidden="1" x14ac:dyDescent="0.2">
      <c r="A2" s="2">
        <f>0</f>
        <v>0</v>
      </c>
      <c r="C2" s="43"/>
      <c r="D2" s="42"/>
    </row>
    <row r="3" spans="1:6" hidden="1" x14ac:dyDescent="0.2">
      <c r="A3" s="2">
        <f>1</f>
        <v>1</v>
      </c>
      <c r="C3" s="43"/>
      <c r="D3" s="42"/>
    </row>
    <row r="4" spans="1:6" hidden="1" x14ac:dyDescent="0.2">
      <c r="A4" s="2">
        <f>2</f>
        <v>2</v>
      </c>
      <c r="C4" s="43"/>
      <c r="D4" s="42"/>
    </row>
    <row r="5" spans="1:6" hidden="1" x14ac:dyDescent="0.2">
      <c r="A5" s="2">
        <f>3</f>
        <v>3</v>
      </c>
      <c r="C5" s="43"/>
      <c r="D5" s="42"/>
    </row>
    <row r="6" spans="1:6" ht="15" hidden="1" customHeight="1" x14ac:dyDescent="0.2">
      <c r="A6" s="2" t="s">
        <v>37</v>
      </c>
      <c r="C6" s="46"/>
      <c r="D6" s="45"/>
    </row>
    <row r="7" spans="1:6" ht="15" hidden="1" customHeight="1" x14ac:dyDescent="0.2">
      <c r="A7" s="2" t="s">
        <v>16</v>
      </c>
      <c r="C7" s="44"/>
      <c r="D7" s="24"/>
    </row>
    <row r="8" spans="1:6" hidden="1" x14ac:dyDescent="0.2">
      <c r="A8" s="2" t="s">
        <v>38</v>
      </c>
    </row>
    <row r="9" spans="1:6" hidden="1" x14ac:dyDescent="0.2">
      <c r="C9" s="2" t="str">
        <f ca="1">_xll.TM1RPTVIEW("smartco:Version Subset Control:2", 0, _xll.TM1RPTTITLE("smartco:Version Subsets",$C$13),TM1RPTFMTRNG,TM1RPTFMTIDCOL)</f>
        <v>smartco:Version Subset Control:2</v>
      </c>
    </row>
    <row r="10" spans="1:6" ht="26.25" customHeight="1" x14ac:dyDescent="0.25">
      <c r="A10" s="3"/>
      <c r="B10" s="3"/>
      <c r="C10" s="11" t="s">
        <v>12</v>
      </c>
      <c r="D10" s="12"/>
      <c r="E10" s="14"/>
      <c r="F10" s="6"/>
    </row>
    <row r="12" spans="1:6" ht="15.75" customHeight="1" x14ac:dyDescent="0.2">
      <c r="C12" s="39" t="s">
        <v>152</v>
      </c>
      <c r="D12" s="38"/>
    </row>
    <row r="13" spans="1:6" ht="15.75" customHeight="1" x14ac:dyDescent="0.2">
      <c r="C13" s="37" t="str">
        <f ca="1">_xll.SUBNM("smartco:Version Subsets","","Current")</f>
        <v>Current</v>
      </c>
    </row>
    <row r="15" spans="1:6" ht="12.75" thickBot="1" x14ac:dyDescent="0.25">
      <c r="C15" s="41" t="s">
        <v>173</v>
      </c>
      <c r="D15" s="41" t="s">
        <v>7</v>
      </c>
    </row>
    <row r="16" spans="1:6" ht="16.5" customHeight="1" thickTop="1" x14ac:dyDescent="0.2">
      <c r="A16" s="2" t="str">
        <f ca="1">IF(MOD(_xll.DIMIX("Smartco:LineItemList",$C16),2)=0,"N","D")</f>
        <v>N</v>
      </c>
      <c r="C16" s="44" t="str">
        <f ca="1">_xll.TM1RPTROW($C$9,"smartco:LineItemList","Default")</f>
        <v>1</v>
      </c>
      <c r="D16" s="24" t="str">
        <f ca="1">_xll.DBRW($C$9,$C$13,$C16,D$15)</f>
        <v>@Default</v>
      </c>
    </row>
    <row r="17" spans="1:1000" customFormat="1" ht="16.5" customHeight="1" x14ac:dyDescent="0.25">
      <c r="A17" s="2" t="str">
        <f ca="1">IF(MOD(_xll.DIMIX("Smartco:LineItemList",$C17),2)=0,"N","D")</f>
        <v>D</v>
      </c>
      <c r="B17" s="2"/>
      <c r="C17" s="46" t="s">
        <v>45</v>
      </c>
      <c r="D17" s="45" t="str">
        <f ca="1">_xll.DBRW($C$9,$C$13,$C17,D$15)</f>
        <v>@Compare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</row>
    <row r="18" spans="1:1000" customFormat="1" ht="16.5" customHeight="1" x14ac:dyDescent="0.25">
      <c r="A18" s="2" t="str">
        <f ca="1">IF(MOD(_xll.DIMIX("Smartco:LineItemList",$C18),2)=0,"N","D")</f>
        <v>N</v>
      </c>
      <c r="B18" s="2"/>
      <c r="C18" s="44" t="s">
        <v>46</v>
      </c>
      <c r="D18" s="24" t="str">
        <f ca="1">_xll.DBRW($C$9,$C$13,$C18,D$15)</f>
        <v>Variance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</row>
    <row r="19" spans="1:1000" customFormat="1" ht="16.5" customHeight="1" x14ac:dyDescent="0.25">
      <c r="A19" s="2" t="str">
        <f ca="1">IF(MOD(_xll.DIMIX("Smartco:LineItemList",$C19),2)=0,"N","D")</f>
        <v>D</v>
      </c>
      <c r="B19" s="2"/>
      <c r="C19" s="46" t="s">
        <v>47</v>
      </c>
      <c r="D19" s="45" t="str">
        <f ca="1">_xll.DBRW($C$9,$C$13,$C19,D$15)</f>
        <v>Variance%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/>
      <c r="AFM19" s="2"/>
      <c r="AFN19" s="2"/>
      <c r="AFO19" s="2"/>
      <c r="AFP19" s="2"/>
      <c r="AFQ19" s="2"/>
      <c r="AFR19" s="2"/>
      <c r="AFS19" s="2"/>
      <c r="AFT19" s="2"/>
      <c r="AFU19" s="2"/>
      <c r="AFV19" s="2"/>
      <c r="AFW19" s="2"/>
      <c r="AFX19" s="2"/>
      <c r="AFY19" s="2"/>
      <c r="AFZ19" s="2"/>
      <c r="AGA19" s="2"/>
      <c r="AGB19" s="2"/>
      <c r="AGC19" s="2"/>
      <c r="AGD19" s="2"/>
      <c r="AGE19" s="2"/>
      <c r="AGF19" s="2"/>
      <c r="AGG19" s="2"/>
      <c r="AGH19" s="2"/>
      <c r="AGI19" s="2"/>
      <c r="AGJ19" s="2"/>
      <c r="AGK19" s="2"/>
      <c r="AGL19" s="2"/>
      <c r="AGM19" s="2"/>
      <c r="AGN19" s="2"/>
      <c r="AGO19" s="2"/>
      <c r="AGP19" s="2"/>
      <c r="AGQ19" s="2"/>
      <c r="AGR19" s="2"/>
      <c r="AGS19" s="2"/>
      <c r="AGT19" s="2"/>
      <c r="AGU19" s="2"/>
      <c r="AGV19" s="2"/>
      <c r="AGW19" s="2"/>
      <c r="AGX19" s="2"/>
      <c r="AGY19" s="2"/>
      <c r="AGZ19" s="2"/>
      <c r="AHA19" s="2"/>
      <c r="AHB19" s="2"/>
      <c r="AHC19" s="2"/>
      <c r="AHD19" s="2"/>
      <c r="AHE19" s="2"/>
      <c r="AHF19" s="2"/>
      <c r="AHG19" s="2"/>
      <c r="AHH19" s="2"/>
      <c r="AHI19" s="2"/>
      <c r="AHJ19" s="2"/>
      <c r="AHK19" s="2"/>
      <c r="AHL19" s="2"/>
      <c r="AHM19" s="2"/>
      <c r="AHN19" s="2"/>
      <c r="AHO19" s="2"/>
      <c r="AHP19" s="2"/>
      <c r="AHQ19" s="2"/>
      <c r="AHR19" s="2"/>
      <c r="AHS19" s="2"/>
      <c r="AHT19" s="2"/>
      <c r="AHU19" s="2"/>
      <c r="AHV19" s="2"/>
      <c r="AHW19" s="2"/>
      <c r="AHX19" s="2"/>
      <c r="AHY19" s="2"/>
      <c r="AHZ19" s="2"/>
      <c r="AIA19" s="2"/>
      <c r="AIB19" s="2"/>
      <c r="AIC19" s="2"/>
      <c r="AID19" s="2"/>
      <c r="AIE19" s="2"/>
      <c r="AIF19" s="2"/>
      <c r="AIG19" s="2"/>
      <c r="AIH19" s="2"/>
      <c r="AII19" s="2"/>
      <c r="AIJ19" s="2"/>
      <c r="AIK19" s="2"/>
      <c r="AIL19" s="2"/>
      <c r="AIM19" s="2"/>
      <c r="AIN19" s="2"/>
      <c r="AIO19" s="2"/>
      <c r="AIP19" s="2"/>
      <c r="AIQ19" s="2"/>
      <c r="AIR19" s="2"/>
      <c r="AIS19" s="2"/>
      <c r="AIT19" s="2"/>
      <c r="AIU19" s="2"/>
      <c r="AIV19" s="2"/>
      <c r="AIW19" s="2"/>
      <c r="AIX19" s="2"/>
      <c r="AIY19" s="2"/>
      <c r="AIZ19" s="2"/>
      <c r="AJA19" s="2"/>
      <c r="AJB19" s="2"/>
      <c r="AJC19" s="2"/>
      <c r="AJD19" s="2"/>
      <c r="AJE19" s="2"/>
      <c r="AJF19" s="2"/>
      <c r="AJG19" s="2"/>
      <c r="AJH19" s="2"/>
      <c r="AJI19" s="2"/>
      <c r="AJJ19" s="2"/>
      <c r="AJK19" s="2"/>
      <c r="AJL19" s="2"/>
      <c r="AJM19" s="2"/>
      <c r="AJN19" s="2"/>
      <c r="AJO19" s="2"/>
      <c r="AJP19" s="2"/>
      <c r="AJQ19" s="2"/>
      <c r="AJR19" s="2"/>
      <c r="AJS19" s="2"/>
      <c r="AJT19" s="2"/>
      <c r="AJU19" s="2"/>
      <c r="AJV19" s="2"/>
      <c r="AJW19" s="2"/>
      <c r="AJX19" s="2"/>
      <c r="AJY19" s="2"/>
      <c r="AJZ19" s="2"/>
      <c r="AKA19" s="2"/>
      <c r="AKB19" s="2"/>
      <c r="AKC19" s="2"/>
      <c r="AKD19" s="2"/>
      <c r="AKE19" s="2"/>
      <c r="AKF19" s="2"/>
      <c r="AKG19" s="2"/>
      <c r="AKH19" s="2"/>
      <c r="AKI19" s="2"/>
      <c r="AKJ19" s="2"/>
      <c r="AKK19" s="2"/>
      <c r="AKL19" s="2"/>
      <c r="AKM19" s="2"/>
      <c r="AKN19" s="2"/>
      <c r="AKO19" s="2"/>
      <c r="AKP19" s="2"/>
      <c r="AKQ19" s="2"/>
      <c r="AKR19" s="2"/>
      <c r="AKS19" s="2"/>
      <c r="AKT19" s="2"/>
      <c r="AKU19" s="2"/>
      <c r="AKV19" s="2"/>
      <c r="AKW19" s="2"/>
      <c r="AKX19" s="2"/>
      <c r="AKY19" s="2"/>
      <c r="AKZ19" s="2"/>
      <c r="ALA19" s="2"/>
      <c r="ALB19" s="2"/>
      <c r="ALC19" s="2"/>
      <c r="ALD19" s="2"/>
      <c r="ALE19" s="2"/>
      <c r="ALF19" s="2"/>
      <c r="ALG19" s="2"/>
      <c r="ALH19" s="2"/>
      <c r="ALI19" s="2"/>
      <c r="ALJ19" s="2"/>
      <c r="ALK19" s="2"/>
      <c r="ALL19" s="2"/>
    </row>
    <row r="20" spans="1:1000" customFormat="1" ht="16.5" customHeight="1" x14ac:dyDescent="0.25">
      <c r="A20" s="2" t="str">
        <f ca="1">IF(MOD(_xll.DIMIX("Smartco:LineItemList",$C20),2)=0,"N","D")</f>
        <v>N</v>
      </c>
      <c r="B20" s="2"/>
      <c r="C20" s="44" t="s">
        <v>48</v>
      </c>
      <c r="D20" s="24" t="str">
        <f ca="1">_xll.DBRW($C$9,$C$13,$C20,D$15)</f>
        <v/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/>
      <c r="AAJ20" s="2"/>
      <c r="AAK20" s="2"/>
      <c r="AAL20" s="2"/>
      <c r="AAM20" s="2"/>
      <c r="AAN20" s="2"/>
      <c r="AAO20" s="2"/>
      <c r="AAP20" s="2"/>
      <c r="AAQ20" s="2"/>
      <c r="AAR20" s="2"/>
      <c r="AAS20" s="2"/>
      <c r="AAT20" s="2"/>
      <c r="AAU20" s="2"/>
      <c r="AAV20" s="2"/>
      <c r="AAW20" s="2"/>
      <c r="AAX20" s="2"/>
      <c r="AAY20" s="2"/>
      <c r="AAZ20" s="2"/>
      <c r="ABA20" s="2"/>
      <c r="ABB20" s="2"/>
      <c r="ABC20" s="2"/>
      <c r="ABD20" s="2"/>
      <c r="ABE20" s="2"/>
      <c r="ABF20" s="2"/>
      <c r="ABG20" s="2"/>
      <c r="ABH20" s="2"/>
      <c r="ABI20" s="2"/>
      <c r="ABJ20" s="2"/>
      <c r="ABK20" s="2"/>
      <c r="ABL20" s="2"/>
      <c r="ABM20" s="2"/>
      <c r="ABN20" s="2"/>
      <c r="ABO20" s="2"/>
      <c r="ABP20" s="2"/>
      <c r="ABQ20" s="2"/>
      <c r="ABR20" s="2"/>
      <c r="ABS20" s="2"/>
      <c r="ABT20" s="2"/>
      <c r="ABU20" s="2"/>
      <c r="ABV20" s="2"/>
      <c r="ABW20" s="2"/>
      <c r="ABX20" s="2"/>
      <c r="ABY20" s="2"/>
      <c r="ABZ20" s="2"/>
      <c r="ACA20" s="2"/>
      <c r="ACB20" s="2"/>
      <c r="ACC20" s="2"/>
      <c r="ACD20" s="2"/>
      <c r="ACE20" s="2"/>
      <c r="ACF20" s="2"/>
      <c r="ACG20" s="2"/>
      <c r="ACH20" s="2"/>
      <c r="ACI20" s="2"/>
      <c r="ACJ20" s="2"/>
      <c r="ACK20" s="2"/>
      <c r="ACL20" s="2"/>
      <c r="ACM20" s="2"/>
      <c r="ACN20" s="2"/>
      <c r="ACO20" s="2"/>
      <c r="ACP20" s="2"/>
      <c r="ACQ20" s="2"/>
      <c r="ACR20" s="2"/>
      <c r="ACS20" s="2"/>
      <c r="ACT20" s="2"/>
      <c r="ACU20" s="2"/>
      <c r="ACV20" s="2"/>
      <c r="ACW20" s="2"/>
      <c r="ACX20" s="2"/>
      <c r="ACY20" s="2"/>
      <c r="ACZ20" s="2"/>
      <c r="ADA20" s="2"/>
      <c r="ADB20" s="2"/>
      <c r="ADC20" s="2"/>
      <c r="ADD20" s="2"/>
      <c r="ADE20" s="2"/>
      <c r="ADF20" s="2"/>
      <c r="ADG20" s="2"/>
      <c r="ADH20" s="2"/>
      <c r="ADI20" s="2"/>
      <c r="ADJ20" s="2"/>
      <c r="ADK20" s="2"/>
      <c r="ADL20" s="2"/>
      <c r="ADM20" s="2"/>
      <c r="ADN20" s="2"/>
      <c r="ADO20" s="2"/>
      <c r="ADP20" s="2"/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2"/>
      <c r="AEU20" s="2"/>
      <c r="AEV20" s="2"/>
      <c r="AEW20" s="2"/>
      <c r="AEX20" s="2"/>
      <c r="AEY20" s="2"/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/>
      <c r="AFM20" s="2"/>
      <c r="AFN20" s="2"/>
      <c r="AFO20" s="2"/>
      <c r="AFP20" s="2"/>
      <c r="AFQ20" s="2"/>
      <c r="AFR20" s="2"/>
      <c r="AFS20" s="2"/>
      <c r="AFT20" s="2"/>
      <c r="AFU20" s="2"/>
      <c r="AFV20" s="2"/>
      <c r="AFW20" s="2"/>
      <c r="AFX20" s="2"/>
      <c r="AFY20" s="2"/>
      <c r="AFZ20" s="2"/>
      <c r="AGA20" s="2"/>
      <c r="AGB20" s="2"/>
      <c r="AGC20" s="2"/>
      <c r="AGD20" s="2"/>
      <c r="AGE20" s="2"/>
      <c r="AGF20" s="2"/>
      <c r="AGG20" s="2"/>
      <c r="AGH20" s="2"/>
      <c r="AGI20" s="2"/>
      <c r="AGJ20" s="2"/>
      <c r="AGK20" s="2"/>
      <c r="AGL20" s="2"/>
      <c r="AGM20" s="2"/>
      <c r="AGN20" s="2"/>
      <c r="AGO20" s="2"/>
      <c r="AGP20" s="2"/>
      <c r="AGQ20" s="2"/>
      <c r="AGR20" s="2"/>
      <c r="AGS20" s="2"/>
      <c r="AGT20" s="2"/>
      <c r="AGU20" s="2"/>
      <c r="AGV20" s="2"/>
      <c r="AGW20" s="2"/>
      <c r="AGX20" s="2"/>
      <c r="AGY20" s="2"/>
      <c r="AGZ20" s="2"/>
      <c r="AHA20" s="2"/>
      <c r="AHB20" s="2"/>
      <c r="AHC20" s="2"/>
      <c r="AHD20" s="2"/>
      <c r="AHE20" s="2"/>
      <c r="AHF20" s="2"/>
      <c r="AHG20" s="2"/>
      <c r="AHH20" s="2"/>
      <c r="AHI20" s="2"/>
      <c r="AHJ20" s="2"/>
      <c r="AHK20" s="2"/>
      <c r="AHL20" s="2"/>
      <c r="AHM20" s="2"/>
      <c r="AHN20" s="2"/>
      <c r="AHO20" s="2"/>
      <c r="AHP20" s="2"/>
      <c r="AHQ20" s="2"/>
      <c r="AHR20" s="2"/>
      <c r="AHS20" s="2"/>
      <c r="AHT20" s="2"/>
      <c r="AHU20" s="2"/>
      <c r="AHV20" s="2"/>
      <c r="AHW20" s="2"/>
      <c r="AHX20" s="2"/>
      <c r="AHY20" s="2"/>
      <c r="AHZ20" s="2"/>
      <c r="AIA20" s="2"/>
      <c r="AIB20" s="2"/>
      <c r="AIC20" s="2"/>
      <c r="AID20" s="2"/>
      <c r="AIE20" s="2"/>
      <c r="AIF20" s="2"/>
      <c r="AIG20" s="2"/>
      <c r="AIH20" s="2"/>
      <c r="AII20" s="2"/>
      <c r="AIJ20" s="2"/>
      <c r="AIK20" s="2"/>
      <c r="AIL20" s="2"/>
      <c r="AIM20" s="2"/>
      <c r="AIN20" s="2"/>
      <c r="AIO20" s="2"/>
      <c r="AIP20" s="2"/>
      <c r="AIQ20" s="2"/>
      <c r="AIR20" s="2"/>
      <c r="AIS20" s="2"/>
      <c r="AIT20" s="2"/>
      <c r="AIU20" s="2"/>
      <c r="AIV20" s="2"/>
      <c r="AIW20" s="2"/>
      <c r="AIX20" s="2"/>
      <c r="AIY20" s="2"/>
      <c r="AIZ20" s="2"/>
      <c r="AJA20" s="2"/>
      <c r="AJB20" s="2"/>
      <c r="AJC20" s="2"/>
      <c r="AJD20" s="2"/>
      <c r="AJE20" s="2"/>
      <c r="AJF20" s="2"/>
      <c r="AJG20" s="2"/>
      <c r="AJH20" s="2"/>
      <c r="AJI20" s="2"/>
      <c r="AJJ20" s="2"/>
      <c r="AJK20" s="2"/>
      <c r="AJL20" s="2"/>
      <c r="AJM20" s="2"/>
      <c r="AJN20" s="2"/>
      <c r="AJO20" s="2"/>
      <c r="AJP20" s="2"/>
      <c r="AJQ20" s="2"/>
      <c r="AJR20" s="2"/>
      <c r="AJS20" s="2"/>
      <c r="AJT20" s="2"/>
      <c r="AJU20" s="2"/>
      <c r="AJV20" s="2"/>
      <c r="AJW20" s="2"/>
      <c r="AJX20" s="2"/>
      <c r="AJY20" s="2"/>
      <c r="AJZ20" s="2"/>
      <c r="AKA20" s="2"/>
      <c r="AKB20" s="2"/>
      <c r="AKC20" s="2"/>
      <c r="AKD20" s="2"/>
      <c r="AKE20" s="2"/>
      <c r="AKF20" s="2"/>
      <c r="AKG20" s="2"/>
      <c r="AKH20" s="2"/>
      <c r="AKI20" s="2"/>
      <c r="AKJ20" s="2"/>
      <c r="AKK20" s="2"/>
      <c r="AKL20" s="2"/>
      <c r="AKM20" s="2"/>
      <c r="AKN20" s="2"/>
      <c r="AKO20" s="2"/>
      <c r="AKP20" s="2"/>
      <c r="AKQ20" s="2"/>
      <c r="AKR20" s="2"/>
      <c r="AKS20" s="2"/>
      <c r="AKT20" s="2"/>
      <c r="AKU20" s="2"/>
      <c r="AKV20" s="2"/>
      <c r="AKW20" s="2"/>
      <c r="AKX20" s="2"/>
      <c r="AKY20" s="2"/>
      <c r="AKZ20" s="2"/>
      <c r="ALA20" s="2"/>
      <c r="ALB20" s="2"/>
      <c r="ALC20" s="2"/>
      <c r="ALD20" s="2"/>
      <c r="ALE20" s="2"/>
      <c r="ALF20" s="2"/>
      <c r="ALG20" s="2"/>
      <c r="ALH20" s="2"/>
      <c r="ALI20" s="2"/>
      <c r="ALJ20" s="2"/>
      <c r="ALK20" s="2"/>
      <c r="ALL20" s="2"/>
    </row>
    <row r="21" spans="1:1000" customFormat="1" ht="16.5" customHeight="1" x14ac:dyDescent="0.25">
      <c r="A21" s="2" t="str">
        <f ca="1">IF(MOD(_xll.DIMIX("Smartco:LineItemList",$C21),2)=0,"N","D")</f>
        <v>D</v>
      </c>
      <c r="B21" s="2"/>
      <c r="C21" s="46" t="s">
        <v>49</v>
      </c>
      <c r="D21" s="45" t="str">
        <f ca="1">_xll.DBRW($C$9,$C$13,$C21,D$15)</f>
        <v/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  <c r="AAA21" s="2"/>
      <c r="AAB21" s="2"/>
      <c r="AAC21" s="2"/>
      <c r="AAD21" s="2"/>
      <c r="AAE21" s="2"/>
      <c r="AAF21" s="2"/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/>
      <c r="AAU21" s="2"/>
      <c r="AAV21" s="2"/>
      <c r="AAW21" s="2"/>
      <c r="AAX21" s="2"/>
      <c r="AAY21" s="2"/>
      <c r="AAZ21" s="2"/>
      <c r="ABA21" s="2"/>
      <c r="ABB21" s="2"/>
      <c r="ABC21" s="2"/>
      <c r="ABD21" s="2"/>
      <c r="ABE21" s="2"/>
      <c r="ABF21" s="2"/>
      <c r="ABG21" s="2"/>
      <c r="ABH21" s="2"/>
      <c r="ABI21" s="2"/>
      <c r="ABJ21" s="2"/>
      <c r="ABK21" s="2"/>
      <c r="ABL21" s="2"/>
      <c r="ABM21" s="2"/>
      <c r="ABN21" s="2"/>
      <c r="ABO21" s="2"/>
      <c r="ABP21" s="2"/>
      <c r="ABQ21" s="2"/>
      <c r="ABR21" s="2"/>
      <c r="ABS21" s="2"/>
      <c r="ABT21" s="2"/>
      <c r="ABU21" s="2"/>
      <c r="ABV21" s="2"/>
      <c r="ABW21" s="2"/>
      <c r="ABX21" s="2"/>
      <c r="ABY21" s="2"/>
      <c r="ABZ21" s="2"/>
      <c r="ACA21" s="2"/>
      <c r="ACB21" s="2"/>
      <c r="ACC21" s="2"/>
      <c r="ACD21" s="2"/>
      <c r="ACE21" s="2"/>
      <c r="ACF21" s="2"/>
      <c r="ACG21" s="2"/>
      <c r="ACH21" s="2"/>
      <c r="ACI21" s="2"/>
      <c r="ACJ21" s="2"/>
      <c r="ACK21" s="2"/>
      <c r="ACL21" s="2"/>
      <c r="ACM21" s="2"/>
      <c r="ACN21" s="2"/>
      <c r="ACO21" s="2"/>
      <c r="ACP21" s="2"/>
      <c r="ACQ21" s="2"/>
      <c r="ACR21" s="2"/>
      <c r="ACS21" s="2"/>
      <c r="ACT21" s="2"/>
      <c r="ACU21" s="2"/>
      <c r="ACV21" s="2"/>
      <c r="ACW21" s="2"/>
      <c r="ACX21" s="2"/>
      <c r="ACY21" s="2"/>
      <c r="ACZ21" s="2"/>
      <c r="ADA21" s="2"/>
      <c r="ADB21" s="2"/>
      <c r="ADC21" s="2"/>
      <c r="ADD21" s="2"/>
      <c r="ADE21" s="2"/>
      <c r="ADF21" s="2"/>
      <c r="ADG21" s="2"/>
      <c r="ADH21" s="2"/>
      <c r="ADI21" s="2"/>
      <c r="ADJ21" s="2"/>
      <c r="ADK21" s="2"/>
      <c r="ADL21" s="2"/>
      <c r="ADM21" s="2"/>
      <c r="ADN21" s="2"/>
      <c r="ADO21" s="2"/>
      <c r="ADP21" s="2"/>
      <c r="ADQ21" s="2"/>
      <c r="ADR21" s="2"/>
      <c r="ADS21" s="2"/>
      <c r="ADT21" s="2"/>
      <c r="ADU21" s="2"/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/>
      <c r="AEM21" s="2"/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/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/>
      <c r="AFM21" s="2"/>
      <c r="AFN21" s="2"/>
      <c r="AFO21" s="2"/>
      <c r="AFP21" s="2"/>
      <c r="AFQ21" s="2"/>
      <c r="AFR21" s="2"/>
      <c r="AFS21" s="2"/>
      <c r="AFT21" s="2"/>
      <c r="AFU21" s="2"/>
      <c r="AFV21" s="2"/>
      <c r="AFW21" s="2"/>
      <c r="AFX21" s="2"/>
      <c r="AFY21" s="2"/>
      <c r="AFZ21" s="2"/>
      <c r="AGA21" s="2"/>
      <c r="AGB21" s="2"/>
      <c r="AGC21" s="2"/>
      <c r="AGD21" s="2"/>
      <c r="AGE21" s="2"/>
      <c r="AGF21" s="2"/>
      <c r="AGG21" s="2"/>
      <c r="AGH21" s="2"/>
      <c r="AGI21" s="2"/>
      <c r="AGJ21" s="2"/>
      <c r="AGK21" s="2"/>
      <c r="AGL21" s="2"/>
      <c r="AGM21" s="2"/>
      <c r="AGN21" s="2"/>
      <c r="AGO21" s="2"/>
      <c r="AGP21" s="2"/>
      <c r="AGQ21" s="2"/>
      <c r="AGR21" s="2"/>
      <c r="AGS21" s="2"/>
      <c r="AGT21" s="2"/>
      <c r="AGU21" s="2"/>
      <c r="AGV21" s="2"/>
      <c r="AGW21" s="2"/>
      <c r="AGX21" s="2"/>
      <c r="AGY21" s="2"/>
      <c r="AGZ21" s="2"/>
      <c r="AHA21" s="2"/>
      <c r="AHB21" s="2"/>
      <c r="AHC21" s="2"/>
      <c r="AHD21" s="2"/>
      <c r="AHE21" s="2"/>
      <c r="AHF21" s="2"/>
      <c r="AHG21" s="2"/>
      <c r="AHH21" s="2"/>
      <c r="AHI21" s="2"/>
      <c r="AHJ21" s="2"/>
      <c r="AHK21" s="2"/>
      <c r="AHL21" s="2"/>
      <c r="AHM21" s="2"/>
      <c r="AHN21" s="2"/>
      <c r="AHO21" s="2"/>
      <c r="AHP21" s="2"/>
      <c r="AHQ21" s="2"/>
      <c r="AHR21" s="2"/>
      <c r="AHS21" s="2"/>
      <c r="AHT21" s="2"/>
      <c r="AHU21" s="2"/>
      <c r="AHV21" s="2"/>
      <c r="AHW21" s="2"/>
      <c r="AHX21" s="2"/>
      <c r="AHY21" s="2"/>
      <c r="AHZ21" s="2"/>
      <c r="AIA21" s="2"/>
      <c r="AIB21" s="2"/>
      <c r="AIC21" s="2"/>
      <c r="AID21" s="2"/>
      <c r="AIE21" s="2"/>
      <c r="AIF21" s="2"/>
      <c r="AIG21" s="2"/>
      <c r="AIH21" s="2"/>
      <c r="AII21" s="2"/>
      <c r="AIJ21" s="2"/>
      <c r="AIK21" s="2"/>
      <c r="AIL21" s="2"/>
      <c r="AIM21" s="2"/>
      <c r="AIN21" s="2"/>
      <c r="AIO21" s="2"/>
      <c r="AIP21" s="2"/>
      <c r="AIQ21" s="2"/>
      <c r="AIR21" s="2"/>
      <c r="AIS21" s="2"/>
      <c r="AIT21" s="2"/>
      <c r="AIU21" s="2"/>
      <c r="AIV21" s="2"/>
      <c r="AIW21" s="2"/>
      <c r="AIX21" s="2"/>
      <c r="AIY21" s="2"/>
      <c r="AIZ21" s="2"/>
      <c r="AJA21" s="2"/>
      <c r="AJB21" s="2"/>
      <c r="AJC21" s="2"/>
      <c r="AJD21" s="2"/>
      <c r="AJE21" s="2"/>
      <c r="AJF21" s="2"/>
      <c r="AJG21" s="2"/>
      <c r="AJH21" s="2"/>
      <c r="AJI21" s="2"/>
      <c r="AJJ21" s="2"/>
      <c r="AJK21" s="2"/>
      <c r="AJL21" s="2"/>
      <c r="AJM21" s="2"/>
      <c r="AJN21" s="2"/>
      <c r="AJO21" s="2"/>
      <c r="AJP21" s="2"/>
      <c r="AJQ21" s="2"/>
      <c r="AJR21" s="2"/>
      <c r="AJS21" s="2"/>
      <c r="AJT21" s="2"/>
      <c r="AJU21" s="2"/>
      <c r="AJV21" s="2"/>
      <c r="AJW21" s="2"/>
      <c r="AJX21" s="2"/>
      <c r="AJY21" s="2"/>
      <c r="AJZ21" s="2"/>
      <c r="AKA21" s="2"/>
      <c r="AKB21" s="2"/>
      <c r="AKC21" s="2"/>
      <c r="AKD21" s="2"/>
      <c r="AKE21" s="2"/>
      <c r="AKF21" s="2"/>
      <c r="AKG21" s="2"/>
      <c r="AKH21" s="2"/>
      <c r="AKI21" s="2"/>
      <c r="AKJ21" s="2"/>
      <c r="AKK21" s="2"/>
      <c r="AKL21" s="2"/>
      <c r="AKM21" s="2"/>
      <c r="AKN21" s="2"/>
      <c r="AKO21" s="2"/>
      <c r="AKP21" s="2"/>
      <c r="AKQ21" s="2"/>
      <c r="AKR21" s="2"/>
      <c r="AKS21" s="2"/>
      <c r="AKT21" s="2"/>
      <c r="AKU21" s="2"/>
      <c r="AKV21" s="2"/>
      <c r="AKW21" s="2"/>
      <c r="AKX21" s="2"/>
      <c r="AKY21" s="2"/>
      <c r="AKZ21" s="2"/>
      <c r="ALA21" s="2"/>
      <c r="ALB21" s="2"/>
      <c r="ALC21" s="2"/>
      <c r="ALD21" s="2"/>
      <c r="ALE21" s="2"/>
      <c r="ALF21" s="2"/>
      <c r="ALG21" s="2"/>
      <c r="ALH21" s="2"/>
      <c r="ALI21" s="2"/>
      <c r="ALJ21" s="2"/>
      <c r="ALK21" s="2"/>
      <c r="ALL21" s="2"/>
    </row>
    <row r="22" spans="1:1000" customFormat="1" ht="16.5" customHeight="1" x14ac:dyDescent="0.25">
      <c r="A22" s="2" t="str">
        <f ca="1">IF(MOD(_xll.DIMIX("Smartco:LineItemList",$C22),2)=0,"N","D")</f>
        <v>N</v>
      </c>
      <c r="B22" s="2"/>
      <c r="C22" s="44" t="s">
        <v>50</v>
      </c>
      <c r="D22" s="24" t="str">
        <f ca="1">_xll.DBRW($C$9,$C$13,$C22,D$15)</f>
        <v/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/>
      <c r="AAW22" s="2"/>
      <c r="AAX22" s="2"/>
      <c r="AAY22" s="2"/>
      <c r="AAZ22" s="2"/>
      <c r="ABA22" s="2"/>
      <c r="ABB22" s="2"/>
      <c r="ABC22" s="2"/>
      <c r="ABD22" s="2"/>
      <c r="ABE22" s="2"/>
      <c r="ABF22" s="2"/>
      <c r="ABG22" s="2"/>
      <c r="ABH22" s="2"/>
      <c r="ABI22" s="2"/>
      <c r="ABJ22" s="2"/>
      <c r="ABK22" s="2"/>
      <c r="ABL22" s="2"/>
      <c r="ABM22" s="2"/>
      <c r="ABN22" s="2"/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/>
      <c r="AFM22" s="2"/>
      <c r="AFN22" s="2"/>
      <c r="AFO22" s="2"/>
      <c r="AFP22" s="2"/>
      <c r="AFQ22" s="2"/>
      <c r="AFR22" s="2"/>
      <c r="AFS22" s="2"/>
      <c r="AFT22" s="2"/>
      <c r="AFU22" s="2"/>
      <c r="AFV22" s="2"/>
      <c r="AFW22" s="2"/>
      <c r="AFX22" s="2"/>
      <c r="AFY22" s="2"/>
      <c r="AFZ22" s="2"/>
      <c r="AGA22" s="2"/>
      <c r="AGB22" s="2"/>
      <c r="AGC22" s="2"/>
      <c r="AGD22" s="2"/>
      <c r="AGE22" s="2"/>
      <c r="AGF22" s="2"/>
      <c r="AGG22" s="2"/>
      <c r="AGH22" s="2"/>
      <c r="AGI22" s="2"/>
      <c r="AGJ22" s="2"/>
      <c r="AGK22" s="2"/>
      <c r="AGL22" s="2"/>
      <c r="AGM22" s="2"/>
      <c r="AGN22" s="2"/>
      <c r="AGO22" s="2"/>
      <c r="AGP22" s="2"/>
      <c r="AGQ22" s="2"/>
      <c r="AGR22" s="2"/>
      <c r="AGS22" s="2"/>
      <c r="AGT22" s="2"/>
      <c r="AGU22" s="2"/>
      <c r="AGV22" s="2"/>
      <c r="AGW22" s="2"/>
      <c r="AGX22" s="2"/>
      <c r="AGY22" s="2"/>
      <c r="AGZ22" s="2"/>
      <c r="AHA22" s="2"/>
      <c r="AHB22" s="2"/>
      <c r="AHC22" s="2"/>
      <c r="AHD22" s="2"/>
      <c r="AHE22" s="2"/>
      <c r="AHF22" s="2"/>
      <c r="AHG22" s="2"/>
      <c r="AHH22" s="2"/>
      <c r="AHI22" s="2"/>
      <c r="AHJ22" s="2"/>
      <c r="AHK22" s="2"/>
      <c r="AHL22" s="2"/>
      <c r="AHM22" s="2"/>
      <c r="AHN22" s="2"/>
      <c r="AHO22" s="2"/>
      <c r="AHP22" s="2"/>
      <c r="AHQ22" s="2"/>
      <c r="AHR22" s="2"/>
      <c r="AHS22" s="2"/>
      <c r="AHT22" s="2"/>
      <c r="AHU22" s="2"/>
      <c r="AHV22" s="2"/>
      <c r="AHW22" s="2"/>
      <c r="AHX22" s="2"/>
      <c r="AHY22" s="2"/>
      <c r="AHZ22" s="2"/>
      <c r="AIA22" s="2"/>
      <c r="AIB22" s="2"/>
      <c r="AIC22" s="2"/>
      <c r="AID22" s="2"/>
      <c r="AIE22" s="2"/>
      <c r="AIF22" s="2"/>
      <c r="AIG22" s="2"/>
      <c r="AIH22" s="2"/>
      <c r="AII22" s="2"/>
      <c r="AIJ22" s="2"/>
      <c r="AIK22" s="2"/>
      <c r="AIL22" s="2"/>
      <c r="AIM22" s="2"/>
      <c r="AIN22" s="2"/>
      <c r="AIO22" s="2"/>
      <c r="AIP22" s="2"/>
      <c r="AIQ22" s="2"/>
      <c r="AIR22" s="2"/>
      <c r="AIS22" s="2"/>
      <c r="AIT22" s="2"/>
      <c r="AIU22" s="2"/>
      <c r="AIV22" s="2"/>
      <c r="AIW22" s="2"/>
      <c r="AIX22" s="2"/>
      <c r="AIY22" s="2"/>
      <c r="AIZ22" s="2"/>
      <c r="AJA22" s="2"/>
      <c r="AJB22" s="2"/>
      <c r="AJC22" s="2"/>
      <c r="AJD22" s="2"/>
      <c r="AJE22" s="2"/>
      <c r="AJF22" s="2"/>
      <c r="AJG22" s="2"/>
      <c r="AJH22" s="2"/>
      <c r="AJI22" s="2"/>
      <c r="AJJ22" s="2"/>
      <c r="AJK22" s="2"/>
      <c r="AJL22" s="2"/>
      <c r="AJM22" s="2"/>
      <c r="AJN22" s="2"/>
      <c r="AJO22" s="2"/>
      <c r="AJP22" s="2"/>
      <c r="AJQ22" s="2"/>
      <c r="AJR22" s="2"/>
      <c r="AJS22" s="2"/>
      <c r="AJT22" s="2"/>
      <c r="AJU22" s="2"/>
      <c r="AJV22" s="2"/>
      <c r="AJW22" s="2"/>
      <c r="AJX22" s="2"/>
      <c r="AJY22" s="2"/>
      <c r="AJZ22" s="2"/>
      <c r="AKA22" s="2"/>
      <c r="AKB22" s="2"/>
      <c r="AKC22" s="2"/>
      <c r="AKD22" s="2"/>
      <c r="AKE22" s="2"/>
      <c r="AKF22" s="2"/>
      <c r="AKG22" s="2"/>
      <c r="AKH22" s="2"/>
      <c r="AKI22" s="2"/>
      <c r="AKJ22" s="2"/>
      <c r="AKK22" s="2"/>
      <c r="AKL22" s="2"/>
      <c r="AKM22" s="2"/>
      <c r="AKN22" s="2"/>
      <c r="AKO22" s="2"/>
      <c r="AKP22" s="2"/>
      <c r="AKQ22" s="2"/>
      <c r="AKR22" s="2"/>
      <c r="AKS22" s="2"/>
      <c r="AKT22" s="2"/>
      <c r="AKU22" s="2"/>
      <c r="AKV22" s="2"/>
      <c r="AKW22" s="2"/>
      <c r="AKX22" s="2"/>
      <c r="AKY22" s="2"/>
      <c r="AKZ22" s="2"/>
      <c r="ALA22" s="2"/>
      <c r="ALB22" s="2"/>
      <c r="ALC22" s="2"/>
      <c r="ALD22" s="2"/>
      <c r="ALE22" s="2"/>
      <c r="ALF22" s="2"/>
      <c r="ALG22" s="2"/>
      <c r="ALH22" s="2"/>
      <c r="ALI22" s="2"/>
      <c r="ALJ22" s="2"/>
      <c r="ALK22" s="2"/>
      <c r="ALL22" s="2"/>
    </row>
    <row r="23" spans="1:1000" customFormat="1" ht="16.5" customHeight="1" x14ac:dyDescent="0.25">
      <c r="A23" s="2" t="str">
        <f ca="1">IF(MOD(_xll.DIMIX("Smartco:LineItemList",$C23),2)=0,"N","D")</f>
        <v>D</v>
      </c>
      <c r="B23" s="2"/>
      <c r="C23" s="46" t="s">
        <v>51</v>
      </c>
      <c r="D23" s="45" t="str">
        <f ca="1">_xll.DBRW($C$9,$C$13,$C23,D$15)</f>
        <v/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/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/>
      <c r="AFM23" s="2"/>
      <c r="AFN23" s="2"/>
      <c r="AFO23" s="2"/>
      <c r="AFP23" s="2"/>
      <c r="AFQ23" s="2"/>
      <c r="AFR23" s="2"/>
      <c r="AFS23" s="2"/>
      <c r="AFT23" s="2"/>
      <c r="AFU23" s="2"/>
      <c r="AFV23" s="2"/>
      <c r="AFW23" s="2"/>
      <c r="AFX23" s="2"/>
      <c r="AFY23" s="2"/>
      <c r="AFZ23" s="2"/>
      <c r="AGA23" s="2"/>
      <c r="AGB23" s="2"/>
      <c r="AGC23" s="2"/>
      <c r="AGD23" s="2"/>
      <c r="AGE23" s="2"/>
      <c r="AGF23" s="2"/>
      <c r="AGG23" s="2"/>
      <c r="AGH23" s="2"/>
      <c r="AGI23" s="2"/>
      <c r="AGJ23" s="2"/>
      <c r="AGK23" s="2"/>
      <c r="AGL23" s="2"/>
      <c r="AGM23" s="2"/>
      <c r="AGN23" s="2"/>
      <c r="AGO23" s="2"/>
      <c r="AGP23" s="2"/>
      <c r="AGQ23" s="2"/>
      <c r="AGR23" s="2"/>
      <c r="AGS23" s="2"/>
      <c r="AGT23" s="2"/>
      <c r="AGU23" s="2"/>
      <c r="AGV23" s="2"/>
      <c r="AGW23" s="2"/>
      <c r="AGX23" s="2"/>
      <c r="AGY23" s="2"/>
      <c r="AGZ23" s="2"/>
      <c r="AHA23" s="2"/>
      <c r="AHB23" s="2"/>
      <c r="AHC23" s="2"/>
      <c r="AHD23" s="2"/>
      <c r="AHE23" s="2"/>
      <c r="AHF23" s="2"/>
      <c r="AHG23" s="2"/>
      <c r="AHH23" s="2"/>
      <c r="AHI23" s="2"/>
      <c r="AHJ23" s="2"/>
      <c r="AHK23" s="2"/>
      <c r="AHL23" s="2"/>
      <c r="AHM23" s="2"/>
      <c r="AHN23" s="2"/>
      <c r="AHO23" s="2"/>
      <c r="AHP23" s="2"/>
      <c r="AHQ23" s="2"/>
      <c r="AHR23" s="2"/>
      <c r="AHS23" s="2"/>
      <c r="AHT23" s="2"/>
      <c r="AHU23" s="2"/>
      <c r="AHV23" s="2"/>
      <c r="AHW23" s="2"/>
      <c r="AHX23" s="2"/>
      <c r="AHY23" s="2"/>
      <c r="AHZ23" s="2"/>
      <c r="AIA23" s="2"/>
      <c r="AIB23" s="2"/>
      <c r="AIC23" s="2"/>
      <c r="AID23" s="2"/>
      <c r="AIE23" s="2"/>
      <c r="AIF23" s="2"/>
      <c r="AIG23" s="2"/>
      <c r="AIH23" s="2"/>
      <c r="AII23" s="2"/>
      <c r="AIJ23" s="2"/>
      <c r="AIK23" s="2"/>
      <c r="AIL23" s="2"/>
      <c r="AIM23" s="2"/>
      <c r="AIN23" s="2"/>
      <c r="AIO23" s="2"/>
      <c r="AIP23" s="2"/>
      <c r="AIQ23" s="2"/>
      <c r="AIR23" s="2"/>
      <c r="AIS23" s="2"/>
      <c r="AIT23" s="2"/>
      <c r="AIU23" s="2"/>
      <c r="AIV23" s="2"/>
      <c r="AIW23" s="2"/>
      <c r="AIX23" s="2"/>
      <c r="AIY23" s="2"/>
      <c r="AIZ23" s="2"/>
      <c r="AJA23" s="2"/>
      <c r="AJB23" s="2"/>
      <c r="AJC23" s="2"/>
      <c r="AJD23" s="2"/>
      <c r="AJE23" s="2"/>
      <c r="AJF23" s="2"/>
      <c r="AJG23" s="2"/>
      <c r="AJH23" s="2"/>
      <c r="AJI23" s="2"/>
      <c r="AJJ23" s="2"/>
      <c r="AJK23" s="2"/>
      <c r="AJL23" s="2"/>
      <c r="AJM23" s="2"/>
      <c r="AJN23" s="2"/>
      <c r="AJO23" s="2"/>
      <c r="AJP23" s="2"/>
      <c r="AJQ23" s="2"/>
      <c r="AJR23" s="2"/>
      <c r="AJS23" s="2"/>
      <c r="AJT23" s="2"/>
      <c r="AJU23" s="2"/>
      <c r="AJV23" s="2"/>
      <c r="AJW23" s="2"/>
      <c r="AJX23" s="2"/>
      <c r="AJY23" s="2"/>
      <c r="AJZ23" s="2"/>
      <c r="AKA23" s="2"/>
      <c r="AKB23" s="2"/>
      <c r="AKC23" s="2"/>
      <c r="AKD23" s="2"/>
      <c r="AKE23" s="2"/>
      <c r="AKF23" s="2"/>
      <c r="AKG23" s="2"/>
      <c r="AKH23" s="2"/>
      <c r="AKI23" s="2"/>
      <c r="AKJ23" s="2"/>
      <c r="AKK23" s="2"/>
      <c r="AKL23" s="2"/>
      <c r="AKM23" s="2"/>
      <c r="AKN23" s="2"/>
      <c r="AKO23" s="2"/>
      <c r="AKP23" s="2"/>
      <c r="AKQ23" s="2"/>
      <c r="AKR23" s="2"/>
      <c r="AKS23" s="2"/>
      <c r="AKT23" s="2"/>
      <c r="AKU23" s="2"/>
      <c r="AKV23" s="2"/>
      <c r="AKW23" s="2"/>
      <c r="AKX23" s="2"/>
      <c r="AKY23" s="2"/>
      <c r="AKZ23" s="2"/>
      <c r="ALA23" s="2"/>
      <c r="ALB23" s="2"/>
      <c r="ALC23" s="2"/>
      <c r="ALD23" s="2"/>
      <c r="ALE23" s="2"/>
      <c r="ALF23" s="2"/>
      <c r="ALG23" s="2"/>
      <c r="ALH23" s="2"/>
      <c r="ALI23" s="2"/>
      <c r="ALJ23" s="2"/>
      <c r="ALK23" s="2"/>
      <c r="ALL23" s="2"/>
    </row>
    <row r="24" spans="1:1000" customFormat="1" ht="16.5" customHeight="1" x14ac:dyDescent="0.25">
      <c r="A24" s="2" t="str">
        <f ca="1">IF(MOD(_xll.DIMIX("Smartco:LineItemList",$C24),2)=0,"N","D")</f>
        <v>N</v>
      </c>
      <c r="B24" s="2"/>
      <c r="C24" s="44" t="s">
        <v>52</v>
      </c>
      <c r="D24" s="24" t="str">
        <f ca="1">_xll.DBRW($C$9,$C$13,$C24,D$15)</f>
        <v/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  <c r="AAA24" s="2"/>
      <c r="AAB24" s="2"/>
      <c r="AAC24" s="2"/>
      <c r="AAD24" s="2"/>
      <c r="AAE24" s="2"/>
      <c r="AAF24" s="2"/>
      <c r="AAG24" s="2"/>
      <c r="AAH24" s="2"/>
      <c r="AAI24" s="2"/>
      <c r="AAJ24" s="2"/>
      <c r="AAK24" s="2"/>
      <c r="AAL24" s="2"/>
      <c r="AAM24" s="2"/>
      <c r="AAN24" s="2"/>
      <c r="AAO24" s="2"/>
      <c r="AAP24" s="2"/>
      <c r="AAQ24" s="2"/>
      <c r="AAR24" s="2"/>
      <c r="AAS24" s="2"/>
      <c r="AAT24" s="2"/>
      <c r="AAU24" s="2"/>
      <c r="AAV24" s="2"/>
      <c r="AAW24" s="2"/>
      <c r="AAX24" s="2"/>
      <c r="AAY24" s="2"/>
      <c r="AAZ24" s="2"/>
      <c r="ABA24" s="2"/>
      <c r="ABB24" s="2"/>
      <c r="ABC24" s="2"/>
      <c r="ABD24" s="2"/>
      <c r="ABE24" s="2"/>
      <c r="ABF24" s="2"/>
      <c r="ABG24" s="2"/>
      <c r="ABH24" s="2"/>
      <c r="ABI24" s="2"/>
      <c r="ABJ24" s="2"/>
      <c r="ABK24" s="2"/>
      <c r="ABL24" s="2"/>
      <c r="ABM24" s="2"/>
      <c r="ABN24" s="2"/>
      <c r="ABO24" s="2"/>
      <c r="ABP24" s="2"/>
      <c r="ABQ24" s="2"/>
      <c r="ABR24" s="2"/>
      <c r="ABS24" s="2"/>
      <c r="ABT24" s="2"/>
      <c r="ABU24" s="2"/>
      <c r="ABV24" s="2"/>
      <c r="ABW24" s="2"/>
      <c r="ABX24" s="2"/>
      <c r="ABY24" s="2"/>
      <c r="ABZ24" s="2"/>
      <c r="ACA24" s="2"/>
      <c r="ACB24" s="2"/>
      <c r="ACC24" s="2"/>
      <c r="ACD24" s="2"/>
      <c r="ACE24" s="2"/>
      <c r="ACF24" s="2"/>
      <c r="ACG24" s="2"/>
      <c r="ACH24" s="2"/>
      <c r="ACI24" s="2"/>
      <c r="ACJ24" s="2"/>
      <c r="ACK24" s="2"/>
      <c r="ACL24" s="2"/>
      <c r="ACM24" s="2"/>
      <c r="ACN24" s="2"/>
      <c r="ACO24" s="2"/>
      <c r="ACP24" s="2"/>
      <c r="ACQ24" s="2"/>
      <c r="ACR24" s="2"/>
      <c r="ACS24" s="2"/>
      <c r="ACT24" s="2"/>
      <c r="ACU24" s="2"/>
      <c r="ACV24" s="2"/>
      <c r="ACW24" s="2"/>
      <c r="ACX24" s="2"/>
      <c r="ACY24" s="2"/>
      <c r="ACZ24" s="2"/>
      <c r="ADA24" s="2"/>
      <c r="ADB24" s="2"/>
      <c r="ADC24" s="2"/>
      <c r="ADD24" s="2"/>
      <c r="ADE24" s="2"/>
      <c r="ADF24" s="2"/>
      <c r="ADG24" s="2"/>
      <c r="ADH24" s="2"/>
      <c r="ADI24" s="2"/>
      <c r="ADJ24" s="2"/>
      <c r="ADK24" s="2"/>
      <c r="ADL24" s="2"/>
      <c r="ADM24" s="2"/>
      <c r="ADN24" s="2"/>
      <c r="ADO24" s="2"/>
      <c r="ADP24" s="2"/>
      <c r="ADQ24" s="2"/>
      <c r="ADR24" s="2"/>
      <c r="ADS24" s="2"/>
      <c r="ADT24" s="2"/>
      <c r="ADU24" s="2"/>
      <c r="ADV24" s="2"/>
      <c r="ADW24" s="2"/>
      <c r="ADX24" s="2"/>
      <c r="ADY24" s="2"/>
      <c r="ADZ24" s="2"/>
      <c r="AEA24" s="2"/>
      <c r="AEB24" s="2"/>
      <c r="AEC24" s="2"/>
      <c r="AED24" s="2"/>
      <c r="AEE24" s="2"/>
      <c r="AEF24" s="2"/>
      <c r="AEG24" s="2"/>
      <c r="AEH24" s="2"/>
      <c r="AEI24" s="2"/>
      <c r="AEJ24" s="2"/>
      <c r="AEK24" s="2"/>
      <c r="AEL24" s="2"/>
      <c r="AEM24" s="2"/>
      <c r="AEN24" s="2"/>
      <c r="AEO24" s="2"/>
      <c r="AEP24" s="2"/>
      <c r="AEQ24" s="2"/>
      <c r="AER24" s="2"/>
      <c r="AES24" s="2"/>
      <c r="AET24" s="2"/>
      <c r="AEU24" s="2"/>
      <c r="AEV24" s="2"/>
      <c r="AEW24" s="2"/>
      <c r="AEX24" s="2"/>
      <c r="AEY24" s="2"/>
      <c r="AEZ24" s="2"/>
      <c r="AFA24" s="2"/>
      <c r="AFB24" s="2"/>
      <c r="AFC24" s="2"/>
      <c r="AFD24" s="2"/>
      <c r="AFE24" s="2"/>
      <c r="AFF24" s="2"/>
      <c r="AFG24" s="2"/>
      <c r="AFH24" s="2"/>
      <c r="AFI24" s="2"/>
      <c r="AFJ24" s="2"/>
      <c r="AFK24" s="2"/>
      <c r="AFL24" s="2"/>
      <c r="AFM24" s="2"/>
      <c r="AFN24" s="2"/>
      <c r="AFO24" s="2"/>
      <c r="AFP24" s="2"/>
      <c r="AFQ24" s="2"/>
      <c r="AFR24" s="2"/>
      <c r="AFS24" s="2"/>
      <c r="AFT24" s="2"/>
      <c r="AFU24" s="2"/>
      <c r="AFV24" s="2"/>
      <c r="AFW24" s="2"/>
      <c r="AFX24" s="2"/>
      <c r="AFY24" s="2"/>
      <c r="AFZ24" s="2"/>
      <c r="AGA24" s="2"/>
      <c r="AGB24" s="2"/>
      <c r="AGC24" s="2"/>
      <c r="AGD24" s="2"/>
      <c r="AGE24" s="2"/>
      <c r="AGF24" s="2"/>
      <c r="AGG24" s="2"/>
      <c r="AGH24" s="2"/>
      <c r="AGI24" s="2"/>
      <c r="AGJ24" s="2"/>
      <c r="AGK24" s="2"/>
      <c r="AGL24" s="2"/>
      <c r="AGM24" s="2"/>
      <c r="AGN24" s="2"/>
      <c r="AGO24" s="2"/>
      <c r="AGP24" s="2"/>
      <c r="AGQ24" s="2"/>
      <c r="AGR24" s="2"/>
      <c r="AGS24" s="2"/>
      <c r="AGT24" s="2"/>
      <c r="AGU24" s="2"/>
      <c r="AGV24" s="2"/>
      <c r="AGW24" s="2"/>
      <c r="AGX24" s="2"/>
      <c r="AGY24" s="2"/>
      <c r="AGZ24" s="2"/>
      <c r="AHA24" s="2"/>
      <c r="AHB24" s="2"/>
      <c r="AHC24" s="2"/>
      <c r="AHD24" s="2"/>
      <c r="AHE24" s="2"/>
      <c r="AHF24" s="2"/>
      <c r="AHG24" s="2"/>
      <c r="AHH24" s="2"/>
      <c r="AHI24" s="2"/>
      <c r="AHJ24" s="2"/>
      <c r="AHK24" s="2"/>
      <c r="AHL24" s="2"/>
      <c r="AHM24" s="2"/>
      <c r="AHN24" s="2"/>
      <c r="AHO24" s="2"/>
      <c r="AHP24" s="2"/>
      <c r="AHQ24" s="2"/>
      <c r="AHR24" s="2"/>
      <c r="AHS24" s="2"/>
      <c r="AHT24" s="2"/>
      <c r="AHU24" s="2"/>
      <c r="AHV24" s="2"/>
      <c r="AHW24" s="2"/>
      <c r="AHX24" s="2"/>
      <c r="AHY24" s="2"/>
      <c r="AHZ24" s="2"/>
      <c r="AIA24" s="2"/>
      <c r="AIB24" s="2"/>
      <c r="AIC24" s="2"/>
      <c r="AID24" s="2"/>
      <c r="AIE24" s="2"/>
      <c r="AIF24" s="2"/>
      <c r="AIG24" s="2"/>
      <c r="AIH24" s="2"/>
      <c r="AII24" s="2"/>
      <c r="AIJ24" s="2"/>
      <c r="AIK24" s="2"/>
      <c r="AIL24" s="2"/>
      <c r="AIM24" s="2"/>
      <c r="AIN24" s="2"/>
      <c r="AIO24" s="2"/>
      <c r="AIP24" s="2"/>
      <c r="AIQ24" s="2"/>
      <c r="AIR24" s="2"/>
      <c r="AIS24" s="2"/>
      <c r="AIT24" s="2"/>
      <c r="AIU24" s="2"/>
      <c r="AIV24" s="2"/>
      <c r="AIW24" s="2"/>
      <c r="AIX24" s="2"/>
      <c r="AIY24" s="2"/>
      <c r="AIZ24" s="2"/>
      <c r="AJA24" s="2"/>
      <c r="AJB24" s="2"/>
      <c r="AJC24" s="2"/>
      <c r="AJD24" s="2"/>
      <c r="AJE24" s="2"/>
      <c r="AJF24" s="2"/>
      <c r="AJG24" s="2"/>
      <c r="AJH24" s="2"/>
      <c r="AJI24" s="2"/>
      <c r="AJJ24" s="2"/>
      <c r="AJK24" s="2"/>
      <c r="AJL24" s="2"/>
      <c r="AJM24" s="2"/>
      <c r="AJN24" s="2"/>
      <c r="AJO24" s="2"/>
      <c r="AJP24" s="2"/>
      <c r="AJQ24" s="2"/>
      <c r="AJR24" s="2"/>
      <c r="AJS24" s="2"/>
      <c r="AJT24" s="2"/>
      <c r="AJU24" s="2"/>
      <c r="AJV24" s="2"/>
      <c r="AJW24" s="2"/>
      <c r="AJX24" s="2"/>
      <c r="AJY24" s="2"/>
      <c r="AJZ24" s="2"/>
      <c r="AKA24" s="2"/>
      <c r="AKB24" s="2"/>
      <c r="AKC24" s="2"/>
      <c r="AKD24" s="2"/>
      <c r="AKE24" s="2"/>
      <c r="AKF24" s="2"/>
      <c r="AKG24" s="2"/>
      <c r="AKH24" s="2"/>
      <c r="AKI24" s="2"/>
      <c r="AKJ24" s="2"/>
      <c r="AKK24" s="2"/>
      <c r="AKL24" s="2"/>
      <c r="AKM24" s="2"/>
      <c r="AKN24" s="2"/>
      <c r="AKO24" s="2"/>
      <c r="AKP24" s="2"/>
      <c r="AKQ24" s="2"/>
      <c r="AKR24" s="2"/>
      <c r="AKS24" s="2"/>
      <c r="AKT24" s="2"/>
      <c r="AKU24" s="2"/>
      <c r="AKV24" s="2"/>
      <c r="AKW24" s="2"/>
      <c r="AKX24" s="2"/>
      <c r="AKY24" s="2"/>
      <c r="AKZ24" s="2"/>
      <c r="ALA24" s="2"/>
      <c r="ALB24" s="2"/>
      <c r="ALC24" s="2"/>
      <c r="ALD24" s="2"/>
      <c r="ALE24" s="2"/>
      <c r="ALF24" s="2"/>
      <c r="ALG24" s="2"/>
      <c r="ALH24" s="2"/>
      <c r="ALI24" s="2"/>
      <c r="ALJ24" s="2"/>
      <c r="ALK24" s="2"/>
      <c r="ALL24" s="2"/>
    </row>
    <row r="25" spans="1:1000" customFormat="1" ht="16.5" customHeight="1" x14ac:dyDescent="0.25">
      <c r="A25" s="2" t="str">
        <f ca="1">IF(MOD(_xll.DIMIX("Smartco:LineItemList",$C25),2)=0,"N","D")</f>
        <v>D</v>
      </c>
      <c r="B25" s="2"/>
      <c r="C25" s="46" t="s">
        <v>53</v>
      </c>
      <c r="D25" s="45" t="str">
        <f ca="1">_xll.DBRW($C$9,$C$13,$C25,D$15)</f>
        <v/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  <c r="AAA25" s="2"/>
      <c r="AAB25" s="2"/>
      <c r="AAC25" s="2"/>
      <c r="AAD25" s="2"/>
      <c r="AAE25" s="2"/>
      <c r="AAF25" s="2"/>
      <c r="AAG25" s="2"/>
      <c r="AAH25" s="2"/>
      <c r="AAI25" s="2"/>
      <c r="AAJ25" s="2"/>
      <c r="AAK25" s="2"/>
      <c r="AAL25" s="2"/>
      <c r="AAM25" s="2"/>
      <c r="AAN25" s="2"/>
      <c r="AAO25" s="2"/>
      <c r="AAP25" s="2"/>
      <c r="AAQ25" s="2"/>
      <c r="AAR25" s="2"/>
      <c r="AAS25" s="2"/>
      <c r="AAT25" s="2"/>
      <c r="AAU25" s="2"/>
      <c r="AAV25" s="2"/>
      <c r="AAW25" s="2"/>
      <c r="AAX25" s="2"/>
      <c r="AAY25" s="2"/>
      <c r="AAZ25" s="2"/>
      <c r="ABA25" s="2"/>
      <c r="ABB25" s="2"/>
      <c r="ABC25" s="2"/>
      <c r="ABD25" s="2"/>
      <c r="ABE25" s="2"/>
      <c r="ABF25" s="2"/>
      <c r="ABG25" s="2"/>
      <c r="ABH25" s="2"/>
      <c r="ABI25" s="2"/>
      <c r="ABJ25" s="2"/>
      <c r="ABK25" s="2"/>
      <c r="ABL25" s="2"/>
      <c r="ABM25" s="2"/>
      <c r="ABN25" s="2"/>
      <c r="ABO25" s="2"/>
      <c r="ABP25" s="2"/>
      <c r="ABQ25" s="2"/>
      <c r="ABR25" s="2"/>
      <c r="ABS25" s="2"/>
      <c r="ABT25" s="2"/>
      <c r="ABU25" s="2"/>
      <c r="ABV25" s="2"/>
      <c r="ABW25" s="2"/>
      <c r="ABX25" s="2"/>
      <c r="ABY25" s="2"/>
      <c r="ABZ25" s="2"/>
      <c r="ACA25" s="2"/>
      <c r="ACB25" s="2"/>
      <c r="ACC25" s="2"/>
      <c r="ACD25" s="2"/>
      <c r="ACE25" s="2"/>
      <c r="ACF25" s="2"/>
      <c r="ACG25" s="2"/>
      <c r="ACH25" s="2"/>
      <c r="ACI25" s="2"/>
      <c r="ACJ25" s="2"/>
      <c r="ACK25" s="2"/>
      <c r="ACL25" s="2"/>
      <c r="ACM25" s="2"/>
      <c r="ACN25" s="2"/>
      <c r="ACO25" s="2"/>
      <c r="ACP25" s="2"/>
      <c r="ACQ25" s="2"/>
      <c r="ACR25" s="2"/>
      <c r="ACS25" s="2"/>
      <c r="ACT25" s="2"/>
      <c r="ACU25" s="2"/>
      <c r="ACV25" s="2"/>
      <c r="ACW25" s="2"/>
      <c r="ACX25" s="2"/>
      <c r="ACY25" s="2"/>
      <c r="ACZ25" s="2"/>
      <c r="ADA25" s="2"/>
      <c r="ADB25" s="2"/>
      <c r="ADC25" s="2"/>
      <c r="ADD25" s="2"/>
      <c r="ADE25" s="2"/>
      <c r="ADF25" s="2"/>
      <c r="ADG25" s="2"/>
      <c r="ADH25" s="2"/>
      <c r="ADI25" s="2"/>
      <c r="ADJ25" s="2"/>
      <c r="ADK25" s="2"/>
      <c r="ADL25" s="2"/>
      <c r="ADM25" s="2"/>
      <c r="ADN25" s="2"/>
      <c r="ADO25" s="2"/>
      <c r="ADP25" s="2"/>
      <c r="ADQ25" s="2"/>
      <c r="ADR25" s="2"/>
      <c r="ADS25" s="2"/>
      <c r="ADT25" s="2"/>
      <c r="ADU25" s="2"/>
      <c r="ADV25" s="2"/>
      <c r="ADW25" s="2"/>
      <c r="ADX25" s="2"/>
      <c r="ADY25" s="2"/>
      <c r="ADZ25" s="2"/>
      <c r="AEA25" s="2"/>
      <c r="AEB25" s="2"/>
      <c r="AEC25" s="2"/>
      <c r="AED25" s="2"/>
      <c r="AEE25" s="2"/>
      <c r="AEF25" s="2"/>
      <c r="AEG25" s="2"/>
      <c r="AEH25" s="2"/>
      <c r="AEI25" s="2"/>
      <c r="AEJ25" s="2"/>
      <c r="AEK25" s="2"/>
      <c r="AEL25" s="2"/>
      <c r="AEM25" s="2"/>
      <c r="AEN25" s="2"/>
      <c r="AEO25" s="2"/>
      <c r="AEP25" s="2"/>
      <c r="AEQ25" s="2"/>
      <c r="AER25" s="2"/>
      <c r="AES25" s="2"/>
      <c r="AET25" s="2"/>
      <c r="AEU25" s="2"/>
      <c r="AEV25" s="2"/>
      <c r="AEW25" s="2"/>
      <c r="AEX25" s="2"/>
      <c r="AEY25" s="2"/>
      <c r="AEZ25" s="2"/>
      <c r="AFA25" s="2"/>
      <c r="AFB25" s="2"/>
      <c r="AFC25" s="2"/>
      <c r="AFD25" s="2"/>
      <c r="AFE25" s="2"/>
      <c r="AFF25" s="2"/>
      <c r="AFG25" s="2"/>
      <c r="AFH25" s="2"/>
      <c r="AFI25" s="2"/>
      <c r="AFJ25" s="2"/>
      <c r="AFK25" s="2"/>
      <c r="AFL25" s="2"/>
      <c r="AFM25" s="2"/>
      <c r="AFN25" s="2"/>
      <c r="AFO25" s="2"/>
      <c r="AFP25" s="2"/>
      <c r="AFQ25" s="2"/>
      <c r="AFR25" s="2"/>
      <c r="AFS25" s="2"/>
      <c r="AFT25" s="2"/>
      <c r="AFU25" s="2"/>
      <c r="AFV25" s="2"/>
      <c r="AFW25" s="2"/>
      <c r="AFX25" s="2"/>
      <c r="AFY25" s="2"/>
      <c r="AFZ25" s="2"/>
      <c r="AGA25" s="2"/>
      <c r="AGB25" s="2"/>
      <c r="AGC25" s="2"/>
      <c r="AGD25" s="2"/>
      <c r="AGE25" s="2"/>
      <c r="AGF25" s="2"/>
      <c r="AGG25" s="2"/>
      <c r="AGH25" s="2"/>
      <c r="AGI25" s="2"/>
      <c r="AGJ25" s="2"/>
      <c r="AGK25" s="2"/>
      <c r="AGL25" s="2"/>
      <c r="AGM25" s="2"/>
      <c r="AGN25" s="2"/>
      <c r="AGO25" s="2"/>
      <c r="AGP25" s="2"/>
      <c r="AGQ25" s="2"/>
      <c r="AGR25" s="2"/>
      <c r="AGS25" s="2"/>
      <c r="AGT25" s="2"/>
      <c r="AGU25" s="2"/>
      <c r="AGV25" s="2"/>
      <c r="AGW25" s="2"/>
      <c r="AGX25" s="2"/>
      <c r="AGY25" s="2"/>
      <c r="AGZ25" s="2"/>
      <c r="AHA25" s="2"/>
      <c r="AHB25" s="2"/>
      <c r="AHC25" s="2"/>
      <c r="AHD25" s="2"/>
      <c r="AHE25" s="2"/>
      <c r="AHF25" s="2"/>
      <c r="AHG25" s="2"/>
      <c r="AHH25" s="2"/>
      <c r="AHI25" s="2"/>
      <c r="AHJ25" s="2"/>
      <c r="AHK25" s="2"/>
      <c r="AHL25" s="2"/>
      <c r="AHM25" s="2"/>
      <c r="AHN25" s="2"/>
      <c r="AHO25" s="2"/>
      <c r="AHP25" s="2"/>
      <c r="AHQ25" s="2"/>
      <c r="AHR25" s="2"/>
      <c r="AHS25" s="2"/>
      <c r="AHT25" s="2"/>
      <c r="AHU25" s="2"/>
      <c r="AHV25" s="2"/>
      <c r="AHW25" s="2"/>
      <c r="AHX25" s="2"/>
      <c r="AHY25" s="2"/>
      <c r="AHZ25" s="2"/>
      <c r="AIA25" s="2"/>
      <c r="AIB25" s="2"/>
      <c r="AIC25" s="2"/>
      <c r="AID25" s="2"/>
      <c r="AIE25" s="2"/>
      <c r="AIF25" s="2"/>
      <c r="AIG25" s="2"/>
      <c r="AIH25" s="2"/>
      <c r="AII25" s="2"/>
      <c r="AIJ25" s="2"/>
      <c r="AIK25" s="2"/>
      <c r="AIL25" s="2"/>
      <c r="AIM25" s="2"/>
      <c r="AIN25" s="2"/>
      <c r="AIO25" s="2"/>
      <c r="AIP25" s="2"/>
      <c r="AIQ25" s="2"/>
      <c r="AIR25" s="2"/>
      <c r="AIS25" s="2"/>
      <c r="AIT25" s="2"/>
      <c r="AIU25" s="2"/>
      <c r="AIV25" s="2"/>
      <c r="AIW25" s="2"/>
      <c r="AIX25" s="2"/>
      <c r="AIY25" s="2"/>
      <c r="AIZ25" s="2"/>
      <c r="AJA25" s="2"/>
      <c r="AJB25" s="2"/>
      <c r="AJC25" s="2"/>
      <c r="AJD25" s="2"/>
      <c r="AJE25" s="2"/>
      <c r="AJF25" s="2"/>
      <c r="AJG25" s="2"/>
      <c r="AJH25" s="2"/>
      <c r="AJI25" s="2"/>
      <c r="AJJ25" s="2"/>
      <c r="AJK25" s="2"/>
      <c r="AJL25" s="2"/>
      <c r="AJM25" s="2"/>
      <c r="AJN25" s="2"/>
      <c r="AJO25" s="2"/>
      <c r="AJP25" s="2"/>
      <c r="AJQ25" s="2"/>
      <c r="AJR25" s="2"/>
      <c r="AJS25" s="2"/>
      <c r="AJT25" s="2"/>
      <c r="AJU25" s="2"/>
      <c r="AJV25" s="2"/>
      <c r="AJW25" s="2"/>
      <c r="AJX25" s="2"/>
      <c r="AJY25" s="2"/>
      <c r="AJZ25" s="2"/>
      <c r="AKA25" s="2"/>
      <c r="AKB25" s="2"/>
      <c r="AKC25" s="2"/>
      <c r="AKD25" s="2"/>
      <c r="AKE25" s="2"/>
      <c r="AKF25" s="2"/>
      <c r="AKG25" s="2"/>
      <c r="AKH25" s="2"/>
      <c r="AKI25" s="2"/>
      <c r="AKJ25" s="2"/>
      <c r="AKK25" s="2"/>
      <c r="AKL25" s="2"/>
      <c r="AKM25" s="2"/>
      <c r="AKN25" s="2"/>
      <c r="AKO25" s="2"/>
      <c r="AKP25" s="2"/>
      <c r="AKQ25" s="2"/>
      <c r="AKR25" s="2"/>
      <c r="AKS25" s="2"/>
      <c r="AKT25" s="2"/>
      <c r="AKU25" s="2"/>
      <c r="AKV25" s="2"/>
      <c r="AKW25" s="2"/>
      <c r="AKX25" s="2"/>
      <c r="AKY25" s="2"/>
      <c r="AKZ25" s="2"/>
      <c r="ALA25" s="2"/>
      <c r="ALB25" s="2"/>
      <c r="ALC25" s="2"/>
      <c r="ALD25" s="2"/>
      <c r="ALE25" s="2"/>
      <c r="ALF25" s="2"/>
      <c r="ALG25" s="2"/>
      <c r="ALH25" s="2"/>
      <c r="ALI25" s="2"/>
      <c r="ALJ25" s="2"/>
      <c r="ALK25" s="2"/>
      <c r="ALL25" s="2"/>
    </row>
  </sheetData>
  <mergeCells count="1">
    <mergeCell ref="C10:E10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TIButton1">
          <controlPr defaultSize="0" print="0" autoLine="0" autoPict="0" r:id="rId5">
            <anchor moveWithCells="1">
              <from>
                <xdr:col>3</xdr:col>
                <xdr:colOff>923925</xdr:colOff>
                <xdr:row>9</xdr:row>
                <xdr:rowOff>47625</xdr:rowOff>
              </from>
              <to>
                <xdr:col>4</xdr:col>
                <xdr:colOff>571500</xdr:colOff>
                <xdr:row>9</xdr:row>
                <xdr:rowOff>276225</xdr:rowOff>
              </to>
            </anchor>
          </controlPr>
        </control>
      </mc:Choice>
      <mc:Fallback>
        <control shapeId="5121" r:id="rId4" name="TI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showGridLines="0" topLeftCell="A2" workbookViewId="0">
      <selection activeCell="B2" sqref="B2:E2"/>
    </sheetView>
  </sheetViews>
  <sheetFormatPr defaultRowHeight="12" x14ac:dyDescent="0.2"/>
  <cols>
    <col min="1" max="1" width="2.7109375" style="2" customWidth="1"/>
    <col min="2" max="2" width="17.5703125" style="2" bestFit="1" customWidth="1"/>
    <col min="3" max="5" width="23" style="2" customWidth="1"/>
    <col min="6" max="16384" width="9.140625" style="2"/>
  </cols>
  <sheetData>
    <row r="1" spans="1:7" hidden="1" x14ac:dyDescent="0.2">
      <c r="B1" s="2" t="s">
        <v>108</v>
      </c>
      <c r="C1" s="2" t="str">
        <f ca="1">_xll.VIEW("smartco:}ElementAttributes_organization","!","!")</f>
        <v>smartco:}ElementAttributes_organization</v>
      </c>
    </row>
    <row r="2" spans="1:7" ht="21" customHeight="1" x14ac:dyDescent="0.25">
      <c r="A2" s="3"/>
      <c r="B2" s="40" t="s">
        <v>114</v>
      </c>
      <c r="C2" s="40"/>
      <c r="D2" s="40"/>
      <c r="E2" s="13"/>
      <c r="F2" s="20"/>
      <c r="G2" s="20"/>
    </row>
    <row r="4" spans="1:7" x14ac:dyDescent="0.2">
      <c r="C4" s="38" t="s">
        <v>109</v>
      </c>
      <c r="D4" s="38" t="s">
        <v>40</v>
      </c>
      <c r="E4" s="38" t="s">
        <v>55</v>
      </c>
    </row>
    <row r="5" spans="1:7" ht="12.75" thickBot="1" x14ac:dyDescent="0.25">
      <c r="B5" s="50"/>
      <c r="C5" s="51"/>
      <c r="D5" s="51" t="s">
        <v>105</v>
      </c>
      <c r="E5" s="51" t="s">
        <v>106</v>
      </c>
    </row>
    <row r="6" spans="1:7" ht="12.75" customHeight="1" thickTop="1" x14ac:dyDescent="0.2">
      <c r="B6" s="47" t="s">
        <v>110</v>
      </c>
      <c r="C6" s="53" t="str">
        <f ca="1">_xll.DBRW($C$1,$B6,C$4)</f>
        <v>USD</v>
      </c>
      <c r="D6" s="54" t="str">
        <f ca="1">_xll.DBRW($C$1,$B6,D$4)</f>
        <v>Total Company</v>
      </c>
      <c r="E6" s="53" t="str">
        <f ca="1">_xll.DBRW($C$1,$B6,E$4)</f>
        <v>Total Company</v>
      </c>
    </row>
    <row r="7" spans="1:7" ht="12.75" customHeight="1" x14ac:dyDescent="0.2">
      <c r="B7" s="56" t="s">
        <v>159</v>
      </c>
      <c r="C7" s="57" t="str">
        <f ca="1">_xll.DBRW($C$1,$B7,C$4)</f>
        <v>USD</v>
      </c>
      <c r="D7" s="58" t="str">
        <f ca="1">_xll.DBRW($C$1,$B7,D$4)</f>
        <v>Eastern Region</v>
      </c>
      <c r="E7" s="57" t="str">
        <f ca="1">_xll.DBRW($C$1,$B7,E$4)</f>
        <v>Eastern Region</v>
      </c>
    </row>
    <row r="8" spans="1:7" ht="12.75" customHeight="1" x14ac:dyDescent="0.2">
      <c r="B8" s="52" t="s">
        <v>160</v>
      </c>
      <c r="C8" s="9" t="str">
        <f ca="1">_xll.DBRW($C$1,$B8,C$4)</f>
        <v>USD</v>
      </c>
      <c r="D8" s="8" t="str">
        <f ca="1">_xll.DBRW($C$1,$B8,D$4)</f>
        <v>Massachusetts</v>
      </c>
      <c r="E8" s="9" t="str">
        <f ca="1">_xll.DBRW($C$1,$B8,E$4)</f>
        <v>Massachusetts</v>
      </c>
    </row>
    <row r="9" spans="1:7" ht="12.75" customHeight="1" x14ac:dyDescent="0.2">
      <c r="B9" s="52" t="s">
        <v>161</v>
      </c>
      <c r="C9" s="9" t="str">
        <f ca="1">_xll.DBRW($C$1,$B9,C$4)</f>
        <v>USD</v>
      </c>
      <c r="D9" s="8" t="str">
        <f ca="1">_xll.DBRW($C$1,$B9,D$4)</f>
        <v>Maryland</v>
      </c>
      <c r="E9" s="9" t="str">
        <f ca="1">_xll.DBRW($C$1,$B9,E$4)</f>
        <v>Maryland</v>
      </c>
    </row>
    <row r="10" spans="1:7" ht="12.75" customHeight="1" x14ac:dyDescent="0.2">
      <c r="B10" s="52" t="s">
        <v>162</v>
      </c>
      <c r="C10" s="9" t="str">
        <f ca="1">_xll.DBRW($C$1,$B10,C$4)</f>
        <v>USD</v>
      </c>
      <c r="D10" s="8" t="str">
        <f ca="1">_xll.DBRW($C$1,$B10,D$4)</f>
        <v>Georgia</v>
      </c>
      <c r="E10" s="9" t="str">
        <f ca="1">_xll.DBRW($C$1,$B10,E$4)</f>
        <v>Georgia</v>
      </c>
    </row>
    <row r="11" spans="1:7" ht="12.75" customHeight="1" x14ac:dyDescent="0.2">
      <c r="B11" s="56" t="s">
        <v>163</v>
      </c>
      <c r="C11" s="57" t="str">
        <f ca="1">_xll.DBRW($C$1,$B11,C$4)</f>
        <v>USD</v>
      </c>
      <c r="D11" s="58" t="str">
        <f ca="1">_xll.DBRW($C$1,$B11,D$4)</f>
        <v>Central Region</v>
      </c>
      <c r="E11" s="57" t="str">
        <f ca="1">_xll.DBRW($C$1,$B11,E$4)</f>
        <v>Central Region</v>
      </c>
    </row>
    <row r="12" spans="1:7" ht="12.75" customHeight="1" x14ac:dyDescent="0.2">
      <c r="B12" s="52" t="s">
        <v>164</v>
      </c>
      <c r="C12" s="9" t="str">
        <f ca="1">_xll.DBRW($C$1,$B12,C$4)</f>
        <v>USD</v>
      </c>
      <c r="D12" s="8" t="str">
        <f ca="1">_xll.DBRW($C$1,$B12,D$4)</f>
        <v>Michigan</v>
      </c>
      <c r="E12" s="9" t="str">
        <f ca="1">_xll.DBRW($C$1,$B12,E$4)</f>
        <v>Michigan</v>
      </c>
    </row>
    <row r="13" spans="1:7" ht="12.75" customHeight="1" x14ac:dyDescent="0.2">
      <c r="B13" s="52" t="s">
        <v>172</v>
      </c>
      <c r="C13" s="9" t="str">
        <f ca="1">_xll.DBRW($C$1,$B13,C$4)</f>
        <v>USD</v>
      </c>
      <c r="D13" s="8" t="str">
        <f ca="1">_xll.DBRW($C$1,$B13,D$4)</f>
        <v>Illinois</v>
      </c>
      <c r="E13" s="9" t="str">
        <f ca="1">_xll.DBRW($C$1,$B13,E$4)</f>
        <v>Illinois</v>
      </c>
    </row>
    <row r="14" spans="1:7" ht="12.75" customHeight="1" x14ac:dyDescent="0.2">
      <c r="B14" s="56" t="s">
        <v>165</v>
      </c>
      <c r="C14" s="59" t="str">
        <f ca="1">_xll.DBRW($C$1,$B14,C$4)</f>
        <v>USD</v>
      </c>
      <c r="D14" s="60" t="str">
        <f ca="1">_xll.DBRW($C$1,$B14,D$4)</f>
        <v>Western Region</v>
      </c>
      <c r="E14" s="59" t="str">
        <f ca="1">_xll.DBRW($C$1,$B14,E$4)</f>
        <v>Western Region</v>
      </c>
    </row>
    <row r="15" spans="1:7" ht="12.75" customHeight="1" x14ac:dyDescent="0.2">
      <c r="B15" s="52" t="s">
        <v>166</v>
      </c>
      <c r="C15" s="9" t="str">
        <f ca="1">_xll.DBRW($C$1,$B15,C$4)</f>
        <v>USD</v>
      </c>
      <c r="D15" s="8" t="str">
        <f ca="1">_xll.DBRW($C$1,$B15,D$4)</f>
        <v>California</v>
      </c>
      <c r="E15" s="9" t="str">
        <f ca="1">_xll.DBRW($C$1,$B15,E$4)</f>
        <v>California</v>
      </c>
    </row>
    <row r="16" spans="1:7" ht="12.75" customHeight="1" x14ac:dyDescent="0.2">
      <c r="B16" s="52" t="s">
        <v>167</v>
      </c>
      <c r="C16" s="9" t="str">
        <f ca="1">_xll.DBRW($C$1,$B16,C$4)</f>
        <v>USD</v>
      </c>
      <c r="D16" s="8" t="str">
        <f ca="1">_xll.DBRW($C$1,$B16,D$4)</f>
        <v>Washington</v>
      </c>
      <c r="E16" s="9" t="str">
        <f ca="1">_xll.DBRW($C$1,$B16,E$4)</f>
        <v>Washington</v>
      </c>
    </row>
    <row r="17" spans="2:5" ht="12.75" customHeight="1" x14ac:dyDescent="0.2">
      <c r="B17" s="56" t="s">
        <v>168</v>
      </c>
      <c r="C17" s="57" t="str">
        <f ca="1">_xll.DBRW($C$1,$B17,C$4)</f>
        <v>CDN</v>
      </c>
      <c r="D17" s="58" t="str">
        <f ca="1">_xll.DBRW($C$1,$B17,D$4)</f>
        <v>Canada</v>
      </c>
      <c r="E17" s="57" t="str">
        <f ca="1">_xll.DBRW($C$1,$B17,E$4)</f>
        <v>Canada</v>
      </c>
    </row>
    <row r="18" spans="2:5" ht="12.75" customHeight="1" x14ac:dyDescent="0.2">
      <c r="B18" s="52" t="s">
        <v>169</v>
      </c>
      <c r="C18" s="9" t="str">
        <f ca="1">_xll.DBRW($C$1,$B18,C$4)</f>
        <v>CDN</v>
      </c>
      <c r="D18" s="8" t="str">
        <f ca="1">_xll.DBRW($C$1,$B18,D$4)</f>
        <v>Toronto</v>
      </c>
      <c r="E18" s="9" t="str">
        <f ca="1">_xll.DBRW($C$1,$B18,E$4)</f>
        <v>Toronto</v>
      </c>
    </row>
    <row r="19" spans="2:5" ht="12.75" customHeight="1" x14ac:dyDescent="0.2">
      <c r="B19" s="52" t="s">
        <v>170</v>
      </c>
      <c r="C19" s="9" t="str">
        <f ca="1">_xll.DBRW($C$1,$B19,C$4)</f>
        <v>CDN</v>
      </c>
      <c r="D19" s="8" t="str">
        <f ca="1">_xll.DBRW($C$1,$B19,D$4)</f>
        <v>Vancouver</v>
      </c>
      <c r="E19" s="9" t="str">
        <f ca="1">_xll.DBRW($C$1,$B19,E$4)</f>
        <v>Vancouver</v>
      </c>
    </row>
    <row r="20" spans="2:5" ht="12.75" customHeight="1" x14ac:dyDescent="0.2">
      <c r="B20" s="52" t="s">
        <v>171</v>
      </c>
      <c r="C20" s="9" t="str">
        <f ca="1">_xll.DBRW($C$1,$B20,C$4)</f>
        <v>CDN</v>
      </c>
      <c r="D20" s="8" t="str">
        <f ca="1">_xll.DBRW($C$1,$B20,D$4)</f>
        <v>Calgary</v>
      </c>
      <c r="E20" s="9" t="str">
        <f ca="1">_xll.DBRW($C$1,$B20,E$4)</f>
        <v>Calgary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L49"/>
  <sheetViews>
    <sheetView showGridLines="0" topLeftCell="B10" workbookViewId="0">
      <selection activeCell="C13" sqref="C13"/>
    </sheetView>
  </sheetViews>
  <sheetFormatPr defaultRowHeight="12" x14ac:dyDescent="0.2"/>
  <cols>
    <col min="1" max="1" width="2.7109375" style="2" hidden="1" customWidth="1"/>
    <col min="2" max="2" width="2.7109375" style="2" customWidth="1"/>
    <col min="3" max="3" width="36" style="2" bestFit="1" customWidth="1"/>
    <col min="4" max="5" width="22.7109375" style="2" bestFit="1" customWidth="1"/>
    <col min="6" max="6" width="27.140625" style="2" customWidth="1"/>
    <col min="7" max="16384" width="9.140625" style="2"/>
  </cols>
  <sheetData>
    <row r="1" spans="1:1000" hidden="1" x14ac:dyDescent="0.2">
      <c r="A1" s="2" t="s">
        <v>36</v>
      </c>
    </row>
    <row r="2" spans="1:1000" hidden="1" x14ac:dyDescent="0.2">
      <c r="A2" s="2">
        <f>0</f>
        <v>0</v>
      </c>
      <c r="C2" s="21"/>
      <c r="D2" s="28"/>
      <c r="E2" s="28"/>
      <c r="F2" s="55"/>
    </row>
    <row r="3" spans="1:1000" hidden="1" x14ac:dyDescent="0.2">
      <c r="A3" s="2">
        <f>1</f>
        <v>1</v>
      </c>
      <c r="C3" s="63"/>
      <c r="D3" s="58"/>
      <c r="E3" s="58"/>
      <c r="F3" s="57"/>
    </row>
    <row r="4" spans="1:1000" hidden="1" x14ac:dyDescent="0.2">
      <c r="A4" s="2">
        <f>2</f>
        <v>2</v>
      </c>
      <c r="C4" s="21"/>
      <c r="D4" s="28"/>
      <c r="E4" s="28"/>
      <c r="F4" s="55"/>
    </row>
    <row r="5" spans="1:1000" hidden="1" x14ac:dyDescent="0.2">
      <c r="A5" s="2">
        <f>3</f>
        <v>3</v>
      </c>
      <c r="C5" s="21"/>
      <c r="D5" s="28"/>
      <c r="E5" s="28"/>
      <c r="F5" s="55"/>
    </row>
    <row r="6" spans="1:1000" hidden="1" x14ac:dyDescent="0.2">
      <c r="A6" s="2" t="s">
        <v>37</v>
      </c>
      <c r="C6" s="22"/>
      <c r="D6" s="8"/>
      <c r="E6" s="8"/>
      <c r="F6" s="9"/>
    </row>
    <row r="7" spans="1:1000" hidden="1" x14ac:dyDescent="0.2">
      <c r="A7" s="2" t="s">
        <v>16</v>
      </c>
      <c r="C7" s="22"/>
      <c r="D7" s="8"/>
      <c r="E7" s="8"/>
      <c r="F7" s="9"/>
    </row>
    <row r="8" spans="1:1000" hidden="1" x14ac:dyDescent="0.2">
      <c r="A8" s="2" t="s">
        <v>38</v>
      </c>
    </row>
    <row r="9" spans="1:1000" hidden="1" x14ac:dyDescent="0.2">
      <c r="C9" s="2" t="str">
        <f ca="1">_xll.TM1RPTVIEW("smartco:}ElementAttributes_product:1", 0,TM1RPTFMTRNG,TM1RPTFMTIDCOL)</f>
        <v>smartco:}ElementAttributes_product:1</v>
      </c>
    </row>
    <row r="10" spans="1:1000" ht="21" customHeight="1" x14ac:dyDescent="0.25">
      <c r="A10" s="3"/>
      <c r="B10" s="3"/>
      <c r="C10" s="40" t="s">
        <v>104</v>
      </c>
      <c r="D10" s="40"/>
      <c r="E10" s="40"/>
      <c r="F10" s="13"/>
    </row>
    <row r="11" spans="1:1000" ht="3.75" customHeight="1" x14ac:dyDescent="0.2"/>
    <row r="12" spans="1:1000" x14ac:dyDescent="0.2">
      <c r="C12" s="4"/>
      <c r="D12" s="61" t="s">
        <v>40</v>
      </c>
      <c r="E12" s="61" t="s">
        <v>55</v>
      </c>
      <c r="F12" s="61" t="s">
        <v>42</v>
      </c>
    </row>
    <row r="13" spans="1:1000" ht="24.75" thickBot="1" x14ac:dyDescent="0.25">
      <c r="C13" s="41"/>
      <c r="D13" s="62" t="s">
        <v>105</v>
      </c>
      <c r="E13" s="62" t="s">
        <v>106</v>
      </c>
      <c r="F13" s="62" t="s">
        <v>43</v>
      </c>
    </row>
    <row r="14" spans="1:1000" ht="12.75" thickTop="1" x14ac:dyDescent="0.2">
      <c r="A14" s="2">
        <f ca="1">IF(_xll.TM1RPTELISCONSOLIDATED($C$14,$C14),IF(_xll.TM1RPTELLEV($C$14,$C14)&lt;=3,_xll.TM1RPTELLEV($C$14,$C14),"D"),"N")</f>
        <v>0</v>
      </c>
      <c r="C14" s="10" t="str">
        <f ca="1">_xll.TM1RPTROW($C$9,"smartco:product","All Members","","Caption_Default")</f>
        <v>Product Total</v>
      </c>
      <c r="D14" s="28" t="str">
        <f ca="1">_xll.DBRW($C$9,$C14,D$12)</f>
        <v>Product Total</v>
      </c>
      <c r="E14" s="28" t="str">
        <f ca="1">_xll.DBRW($C$9,$C14,E$12)</f>
        <v>Product Total</v>
      </c>
      <c r="F14" s="55" t="str">
        <f ca="1">_xll.DBRW($C$9,$C14,F$12)</f>
        <v>Y</v>
      </c>
    </row>
    <row r="15" spans="1:1000" customFormat="1" ht="15" x14ac:dyDescent="0.25">
      <c r="A15" s="2">
        <f ca="1">IF(_xll.TM1RPTELISCONSOLIDATED($C$14,$C15),IF(_xll.TM1RPTELLEV($C$14,$C15)&lt;=3,_xll.TM1RPTELLEV($C$14,$C15),"D"),"N")</f>
        <v>1</v>
      </c>
      <c r="B15" s="2"/>
      <c r="C15" s="64" t="s">
        <v>119</v>
      </c>
      <c r="D15" s="58" t="str">
        <f ca="1">_xll.DBRW($C$9,$C15,D$12)</f>
        <v>Phones</v>
      </c>
      <c r="E15" s="58" t="str">
        <f ca="1">_xll.DBRW($C$9,$C15,E$12)</f>
        <v>Phones</v>
      </c>
      <c r="F15" s="57" t="str">
        <f ca="1">_xll.DBRW($C$9,$C15,F$12)</f>
        <v>Y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</row>
    <row r="16" spans="1:1000" customFormat="1" ht="15" x14ac:dyDescent="0.25">
      <c r="A16" s="2">
        <f ca="1">IF(_xll.TM1RPTELISCONSOLIDATED($C$14,$C16),IF(_xll.TM1RPTELLEV($C$14,$C16)&lt;=3,_xll.TM1RPTELLEV($C$14,$C16),"D"),"N")</f>
        <v>2</v>
      </c>
      <c r="B16" s="2"/>
      <c r="C16" s="48" t="s">
        <v>120</v>
      </c>
      <c r="D16" s="28" t="str">
        <f ca="1">_xll.DBRW($C$9,$C16,D$12)</f>
        <v>3G Smart Phones</v>
      </c>
      <c r="E16" s="28" t="str">
        <f ca="1">_xll.DBRW($C$9,$C16,E$12)</f>
        <v>3G Smart Phones</v>
      </c>
      <c r="F16" s="55" t="str">
        <f ca="1">_xll.DBRW($C$9,$C16,F$12)</f>
        <v>Y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</row>
    <row r="17" spans="1:1000" customFormat="1" ht="15" x14ac:dyDescent="0.25">
      <c r="A17" s="2" t="str">
        <f ca="1">IF(_xll.TM1RPTELISCONSOLIDATED($C$14,$C17),IF(_xll.TM1RPTELLEV($C$14,$C17)&lt;=3,_xll.TM1RPTELLEV($C$14,$C17),"D"),"N")</f>
        <v>N</v>
      </c>
      <c r="B17" s="2"/>
      <c r="C17" s="49" t="s">
        <v>121</v>
      </c>
      <c r="D17" s="8" t="str">
        <f ca="1">_xll.DBRW($C$9,$C17,D$12)</f>
        <v>3G 16Gb</v>
      </c>
      <c r="E17" s="8" t="str">
        <f ca="1">_xll.DBRW($C$9,$C17,E$12)</f>
        <v>3G 16Gb</v>
      </c>
      <c r="F17" s="9" t="str">
        <f ca="1">_xll.DBRW($C$9,$C17,F$12)</f>
        <v>Y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</row>
    <row r="18" spans="1:1000" customFormat="1" ht="15" x14ac:dyDescent="0.25">
      <c r="A18" s="2" t="str">
        <f ca="1">IF(_xll.TM1RPTELISCONSOLIDATED($C$14,$C18),IF(_xll.TM1RPTELLEV($C$14,$C18)&lt;=3,_xll.TM1RPTELLEV($C$14,$C18),"D"),"N")</f>
        <v>N</v>
      </c>
      <c r="B18" s="2"/>
      <c r="C18" s="49" t="s">
        <v>122</v>
      </c>
      <c r="D18" s="8" t="str">
        <f ca="1">_xll.DBRW($C$9,$C18,D$12)</f>
        <v>3G 32Gb</v>
      </c>
      <c r="E18" s="8" t="str">
        <f ca="1">_xll.DBRW($C$9,$C18,E$12)</f>
        <v>3G 32Gb</v>
      </c>
      <c r="F18" s="9" t="str">
        <f ca="1">_xll.DBRW($C$9,$C18,F$12)</f>
        <v>Y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</row>
    <row r="19" spans="1:1000" customFormat="1" ht="15" x14ac:dyDescent="0.25">
      <c r="A19" s="2" t="str">
        <f ca="1">IF(_xll.TM1RPTELISCONSOLIDATED($C$14,$C19),IF(_xll.TM1RPTELLEV($C$14,$C19)&lt;=3,_xll.TM1RPTELLEV($C$14,$C19),"D"),"N")</f>
        <v>N</v>
      </c>
      <c r="B19" s="2"/>
      <c r="C19" s="49" t="s">
        <v>123</v>
      </c>
      <c r="D19" s="8" t="str">
        <f ca="1">_xll.DBRW($C$9,$C19,D$12)</f>
        <v>3G 64Gb</v>
      </c>
      <c r="E19" s="8" t="str">
        <f ca="1">_xll.DBRW($C$9,$C19,E$12)</f>
        <v>3G 64Gb</v>
      </c>
      <c r="F19" s="9" t="str">
        <f ca="1">_xll.DBRW($C$9,$C19,F$12)</f>
        <v>Y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/>
      <c r="AFM19" s="2"/>
      <c r="AFN19" s="2"/>
      <c r="AFO19" s="2"/>
      <c r="AFP19" s="2"/>
      <c r="AFQ19" s="2"/>
      <c r="AFR19" s="2"/>
      <c r="AFS19" s="2"/>
      <c r="AFT19" s="2"/>
      <c r="AFU19" s="2"/>
      <c r="AFV19" s="2"/>
      <c r="AFW19" s="2"/>
      <c r="AFX19" s="2"/>
      <c r="AFY19" s="2"/>
      <c r="AFZ19" s="2"/>
      <c r="AGA19" s="2"/>
      <c r="AGB19" s="2"/>
      <c r="AGC19" s="2"/>
      <c r="AGD19" s="2"/>
      <c r="AGE19" s="2"/>
      <c r="AGF19" s="2"/>
      <c r="AGG19" s="2"/>
      <c r="AGH19" s="2"/>
      <c r="AGI19" s="2"/>
      <c r="AGJ19" s="2"/>
      <c r="AGK19" s="2"/>
      <c r="AGL19" s="2"/>
      <c r="AGM19" s="2"/>
      <c r="AGN19" s="2"/>
      <c r="AGO19" s="2"/>
      <c r="AGP19" s="2"/>
      <c r="AGQ19" s="2"/>
      <c r="AGR19" s="2"/>
      <c r="AGS19" s="2"/>
      <c r="AGT19" s="2"/>
      <c r="AGU19" s="2"/>
      <c r="AGV19" s="2"/>
      <c r="AGW19" s="2"/>
      <c r="AGX19" s="2"/>
      <c r="AGY19" s="2"/>
      <c r="AGZ19" s="2"/>
      <c r="AHA19" s="2"/>
      <c r="AHB19" s="2"/>
      <c r="AHC19" s="2"/>
      <c r="AHD19" s="2"/>
      <c r="AHE19" s="2"/>
      <c r="AHF19" s="2"/>
      <c r="AHG19" s="2"/>
      <c r="AHH19" s="2"/>
      <c r="AHI19" s="2"/>
      <c r="AHJ19" s="2"/>
      <c r="AHK19" s="2"/>
      <c r="AHL19" s="2"/>
      <c r="AHM19" s="2"/>
      <c r="AHN19" s="2"/>
      <c r="AHO19" s="2"/>
      <c r="AHP19" s="2"/>
      <c r="AHQ19" s="2"/>
      <c r="AHR19" s="2"/>
      <c r="AHS19" s="2"/>
      <c r="AHT19" s="2"/>
      <c r="AHU19" s="2"/>
      <c r="AHV19" s="2"/>
      <c r="AHW19" s="2"/>
      <c r="AHX19" s="2"/>
      <c r="AHY19" s="2"/>
      <c r="AHZ19" s="2"/>
      <c r="AIA19" s="2"/>
      <c r="AIB19" s="2"/>
      <c r="AIC19" s="2"/>
      <c r="AID19" s="2"/>
      <c r="AIE19" s="2"/>
      <c r="AIF19" s="2"/>
      <c r="AIG19" s="2"/>
      <c r="AIH19" s="2"/>
      <c r="AII19" s="2"/>
      <c r="AIJ19" s="2"/>
      <c r="AIK19" s="2"/>
      <c r="AIL19" s="2"/>
      <c r="AIM19" s="2"/>
      <c r="AIN19" s="2"/>
      <c r="AIO19" s="2"/>
      <c r="AIP19" s="2"/>
      <c r="AIQ19" s="2"/>
      <c r="AIR19" s="2"/>
      <c r="AIS19" s="2"/>
      <c r="AIT19" s="2"/>
      <c r="AIU19" s="2"/>
      <c r="AIV19" s="2"/>
      <c r="AIW19" s="2"/>
      <c r="AIX19" s="2"/>
      <c r="AIY19" s="2"/>
      <c r="AIZ19" s="2"/>
      <c r="AJA19" s="2"/>
      <c r="AJB19" s="2"/>
      <c r="AJC19" s="2"/>
      <c r="AJD19" s="2"/>
      <c r="AJE19" s="2"/>
      <c r="AJF19" s="2"/>
      <c r="AJG19" s="2"/>
      <c r="AJH19" s="2"/>
      <c r="AJI19" s="2"/>
      <c r="AJJ19" s="2"/>
      <c r="AJK19" s="2"/>
      <c r="AJL19" s="2"/>
      <c r="AJM19" s="2"/>
      <c r="AJN19" s="2"/>
      <c r="AJO19" s="2"/>
      <c r="AJP19" s="2"/>
      <c r="AJQ19" s="2"/>
      <c r="AJR19" s="2"/>
      <c r="AJS19" s="2"/>
      <c r="AJT19" s="2"/>
      <c r="AJU19" s="2"/>
      <c r="AJV19" s="2"/>
      <c r="AJW19" s="2"/>
      <c r="AJX19" s="2"/>
      <c r="AJY19" s="2"/>
      <c r="AJZ19" s="2"/>
      <c r="AKA19" s="2"/>
      <c r="AKB19" s="2"/>
      <c r="AKC19" s="2"/>
      <c r="AKD19" s="2"/>
      <c r="AKE19" s="2"/>
      <c r="AKF19" s="2"/>
      <c r="AKG19" s="2"/>
      <c r="AKH19" s="2"/>
      <c r="AKI19" s="2"/>
      <c r="AKJ19" s="2"/>
      <c r="AKK19" s="2"/>
      <c r="AKL19" s="2"/>
      <c r="AKM19" s="2"/>
      <c r="AKN19" s="2"/>
      <c r="AKO19" s="2"/>
      <c r="AKP19" s="2"/>
      <c r="AKQ19" s="2"/>
      <c r="AKR19" s="2"/>
      <c r="AKS19" s="2"/>
      <c r="AKT19" s="2"/>
      <c r="AKU19" s="2"/>
      <c r="AKV19" s="2"/>
      <c r="AKW19" s="2"/>
      <c r="AKX19" s="2"/>
      <c r="AKY19" s="2"/>
      <c r="AKZ19" s="2"/>
      <c r="ALA19" s="2"/>
      <c r="ALB19" s="2"/>
      <c r="ALC19" s="2"/>
      <c r="ALD19" s="2"/>
      <c r="ALE19" s="2"/>
      <c r="ALF19" s="2"/>
      <c r="ALG19" s="2"/>
      <c r="ALH19" s="2"/>
      <c r="ALI19" s="2"/>
      <c r="ALJ19" s="2"/>
      <c r="ALK19" s="2"/>
      <c r="ALL19" s="2"/>
    </row>
    <row r="20" spans="1:1000" customFormat="1" ht="15" x14ac:dyDescent="0.25">
      <c r="A20" s="2" t="str">
        <f ca="1">IF(_xll.TM1RPTELISCONSOLIDATED($C$14,$C20),IF(_xll.TM1RPTELLEV($C$14,$C20)&lt;=3,_xll.TM1RPTELLEV($C$14,$C20),"D"),"N")</f>
        <v>N</v>
      </c>
      <c r="B20" s="2"/>
      <c r="C20" s="49" t="s">
        <v>124</v>
      </c>
      <c r="D20" s="8" t="str">
        <f ca="1">_xll.DBRW($C$9,$C20,D$12)</f>
        <v>3G 128Gb</v>
      </c>
      <c r="E20" s="8" t="str">
        <f ca="1">_xll.DBRW($C$9,$C20,E$12)</f>
        <v>3G 128Gb</v>
      </c>
      <c r="F20" s="9" t="str">
        <f ca="1">_xll.DBRW($C$9,$C20,F$12)</f>
        <v>Y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/>
      <c r="AAJ20" s="2"/>
      <c r="AAK20" s="2"/>
      <c r="AAL20" s="2"/>
      <c r="AAM20" s="2"/>
      <c r="AAN20" s="2"/>
      <c r="AAO20" s="2"/>
      <c r="AAP20" s="2"/>
      <c r="AAQ20" s="2"/>
      <c r="AAR20" s="2"/>
      <c r="AAS20" s="2"/>
      <c r="AAT20" s="2"/>
      <c r="AAU20" s="2"/>
      <c r="AAV20" s="2"/>
      <c r="AAW20" s="2"/>
      <c r="AAX20" s="2"/>
      <c r="AAY20" s="2"/>
      <c r="AAZ20" s="2"/>
      <c r="ABA20" s="2"/>
      <c r="ABB20" s="2"/>
      <c r="ABC20" s="2"/>
      <c r="ABD20" s="2"/>
      <c r="ABE20" s="2"/>
      <c r="ABF20" s="2"/>
      <c r="ABG20" s="2"/>
      <c r="ABH20" s="2"/>
      <c r="ABI20" s="2"/>
      <c r="ABJ20" s="2"/>
      <c r="ABK20" s="2"/>
      <c r="ABL20" s="2"/>
      <c r="ABM20" s="2"/>
      <c r="ABN20" s="2"/>
      <c r="ABO20" s="2"/>
      <c r="ABP20" s="2"/>
      <c r="ABQ20" s="2"/>
      <c r="ABR20" s="2"/>
      <c r="ABS20" s="2"/>
      <c r="ABT20" s="2"/>
      <c r="ABU20" s="2"/>
      <c r="ABV20" s="2"/>
      <c r="ABW20" s="2"/>
      <c r="ABX20" s="2"/>
      <c r="ABY20" s="2"/>
      <c r="ABZ20" s="2"/>
      <c r="ACA20" s="2"/>
      <c r="ACB20" s="2"/>
      <c r="ACC20" s="2"/>
      <c r="ACD20" s="2"/>
      <c r="ACE20" s="2"/>
      <c r="ACF20" s="2"/>
      <c r="ACG20" s="2"/>
      <c r="ACH20" s="2"/>
      <c r="ACI20" s="2"/>
      <c r="ACJ20" s="2"/>
      <c r="ACK20" s="2"/>
      <c r="ACL20" s="2"/>
      <c r="ACM20" s="2"/>
      <c r="ACN20" s="2"/>
      <c r="ACO20" s="2"/>
      <c r="ACP20" s="2"/>
      <c r="ACQ20" s="2"/>
      <c r="ACR20" s="2"/>
      <c r="ACS20" s="2"/>
      <c r="ACT20" s="2"/>
      <c r="ACU20" s="2"/>
      <c r="ACV20" s="2"/>
      <c r="ACW20" s="2"/>
      <c r="ACX20" s="2"/>
      <c r="ACY20" s="2"/>
      <c r="ACZ20" s="2"/>
      <c r="ADA20" s="2"/>
      <c r="ADB20" s="2"/>
      <c r="ADC20" s="2"/>
      <c r="ADD20" s="2"/>
      <c r="ADE20" s="2"/>
      <c r="ADF20" s="2"/>
      <c r="ADG20" s="2"/>
      <c r="ADH20" s="2"/>
      <c r="ADI20" s="2"/>
      <c r="ADJ20" s="2"/>
      <c r="ADK20" s="2"/>
      <c r="ADL20" s="2"/>
      <c r="ADM20" s="2"/>
      <c r="ADN20" s="2"/>
      <c r="ADO20" s="2"/>
      <c r="ADP20" s="2"/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2"/>
      <c r="AEU20" s="2"/>
      <c r="AEV20" s="2"/>
      <c r="AEW20" s="2"/>
      <c r="AEX20" s="2"/>
      <c r="AEY20" s="2"/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/>
      <c r="AFM20" s="2"/>
      <c r="AFN20" s="2"/>
      <c r="AFO20" s="2"/>
      <c r="AFP20" s="2"/>
      <c r="AFQ20" s="2"/>
      <c r="AFR20" s="2"/>
      <c r="AFS20" s="2"/>
      <c r="AFT20" s="2"/>
      <c r="AFU20" s="2"/>
      <c r="AFV20" s="2"/>
      <c r="AFW20" s="2"/>
      <c r="AFX20" s="2"/>
      <c r="AFY20" s="2"/>
      <c r="AFZ20" s="2"/>
      <c r="AGA20" s="2"/>
      <c r="AGB20" s="2"/>
      <c r="AGC20" s="2"/>
      <c r="AGD20" s="2"/>
      <c r="AGE20" s="2"/>
      <c r="AGF20" s="2"/>
      <c r="AGG20" s="2"/>
      <c r="AGH20" s="2"/>
      <c r="AGI20" s="2"/>
      <c r="AGJ20" s="2"/>
      <c r="AGK20" s="2"/>
      <c r="AGL20" s="2"/>
      <c r="AGM20" s="2"/>
      <c r="AGN20" s="2"/>
      <c r="AGO20" s="2"/>
      <c r="AGP20" s="2"/>
      <c r="AGQ20" s="2"/>
      <c r="AGR20" s="2"/>
      <c r="AGS20" s="2"/>
      <c r="AGT20" s="2"/>
      <c r="AGU20" s="2"/>
      <c r="AGV20" s="2"/>
      <c r="AGW20" s="2"/>
      <c r="AGX20" s="2"/>
      <c r="AGY20" s="2"/>
      <c r="AGZ20" s="2"/>
      <c r="AHA20" s="2"/>
      <c r="AHB20" s="2"/>
      <c r="AHC20" s="2"/>
      <c r="AHD20" s="2"/>
      <c r="AHE20" s="2"/>
      <c r="AHF20" s="2"/>
      <c r="AHG20" s="2"/>
      <c r="AHH20" s="2"/>
      <c r="AHI20" s="2"/>
      <c r="AHJ20" s="2"/>
      <c r="AHK20" s="2"/>
      <c r="AHL20" s="2"/>
      <c r="AHM20" s="2"/>
      <c r="AHN20" s="2"/>
      <c r="AHO20" s="2"/>
      <c r="AHP20" s="2"/>
      <c r="AHQ20" s="2"/>
      <c r="AHR20" s="2"/>
      <c r="AHS20" s="2"/>
      <c r="AHT20" s="2"/>
      <c r="AHU20" s="2"/>
      <c r="AHV20" s="2"/>
      <c r="AHW20" s="2"/>
      <c r="AHX20" s="2"/>
      <c r="AHY20" s="2"/>
      <c r="AHZ20" s="2"/>
      <c r="AIA20" s="2"/>
      <c r="AIB20" s="2"/>
      <c r="AIC20" s="2"/>
      <c r="AID20" s="2"/>
      <c r="AIE20" s="2"/>
      <c r="AIF20" s="2"/>
      <c r="AIG20" s="2"/>
      <c r="AIH20" s="2"/>
      <c r="AII20" s="2"/>
      <c r="AIJ20" s="2"/>
      <c r="AIK20" s="2"/>
      <c r="AIL20" s="2"/>
      <c r="AIM20" s="2"/>
      <c r="AIN20" s="2"/>
      <c r="AIO20" s="2"/>
      <c r="AIP20" s="2"/>
      <c r="AIQ20" s="2"/>
      <c r="AIR20" s="2"/>
      <c r="AIS20" s="2"/>
      <c r="AIT20" s="2"/>
      <c r="AIU20" s="2"/>
      <c r="AIV20" s="2"/>
      <c r="AIW20" s="2"/>
      <c r="AIX20" s="2"/>
      <c r="AIY20" s="2"/>
      <c r="AIZ20" s="2"/>
      <c r="AJA20" s="2"/>
      <c r="AJB20" s="2"/>
      <c r="AJC20" s="2"/>
      <c r="AJD20" s="2"/>
      <c r="AJE20" s="2"/>
      <c r="AJF20" s="2"/>
      <c r="AJG20" s="2"/>
      <c r="AJH20" s="2"/>
      <c r="AJI20" s="2"/>
      <c r="AJJ20" s="2"/>
      <c r="AJK20" s="2"/>
      <c r="AJL20" s="2"/>
      <c r="AJM20" s="2"/>
      <c r="AJN20" s="2"/>
      <c r="AJO20" s="2"/>
      <c r="AJP20" s="2"/>
      <c r="AJQ20" s="2"/>
      <c r="AJR20" s="2"/>
      <c r="AJS20" s="2"/>
      <c r="AJT20" s="2"/>
      <c r="AJU20" s="2"/>
      <c r="AJV20" s="2"/>
      <c r="AJW20" s="2"/>
      <c r="AJX20" s="2"/>
      <c r="AJY20" s="2"/>
      <c r="AJZ20" s="2"/>
      <c r="AKA20" s="2"/>
      <c r="AKB20" s="2"/>
      <c r="AKC20" s="2"/>
      <c r="AKD20" s="2"/>
      <c r="AKE20" s="2"/>
      <c r="AKF20" s="2"/>
      <c r="AKG20" s="2"/>
      <c r="AKH20" s="2"/>
      <c r="AKI20" s="2"/>
      <c r="AKJ20" s="2"/>
      <c r="AKK20" s="2"/>
      <c r="AKL20" s="2"/>
      <c r="AKM20" s="2"/>
      <c r="AKN20" s="2"/>
      <c r="AKO20" s="2"/>
      <c r="AKP20" s="2"/>
      <c r="AKQ20" s="2"/>
      <c r="AKR20" s="2"/>
      <c r="AKS20" s="2"/>
      <c r="AKT20" s="2"/>
      <c r="AKU20" s="2"/>
      <c r="AKV20" s="2"/>
      <c r="AKW20" s="2"/>
      <c r="AKX20" s="2"/>
      <c r="AKY20" s="2"/>
      <c r="AKZ20" s="2"/>
      <c r="ALA20" s="2"/>
      <c r="ALB20" s="2"/>
      <c r="ALC20" s="2"/>
      <c r="ALD20" s="2"/>
      <c r="ALE20" s="2"/>
      <c r="ALF20" s="2"/>
      <c r="ALG20" s="2"/>
      <c r="ALH20" s="2"/>
      <c r="ALI20" s="2"/>
      <c r="ALJ20" s="2"/>
      <c r="ALK20" s="2"/>
      <c r="ALL20" s="2"/>
    </row>
    <row r="21" spans="1:1000" customFormat="1" ht="15" x14ac:dyDescent="0.25">
      <c r="A21" s="2">
        <f ca="1">IF(_xll.TM1RPTELISCONSOLIDATED($C$14,$C21),IF(_xll.TM1RPTELLEV($C$14,$C21)&lt;=3,_xll.TM1RPTELLEV($C$14,$C21),"D"),"N")</f>
        <v>2</v>
      </c>
      <c r="B21" s="2"/>
      <c r="C21" s="48" t="s">
        <v>125</v>
      </c>
      <c r="D21" s="28" t="str">
        <f ca="1">_xll.DBRW($C$9,$C21,D$12)</f>
        <v>4G Smart Phones</v>
      </c>
      <c r="E21" s="28" t="str">
        <f ca="1">_xll.DBRW($C$9,$C21,E$12)</f>
        <v>4G Smart Phones</v>
      </c>
      <c r="F21" s="55" t="str">
        <f ca="1">_xll.DBRW($C$9,$C21,F$12)</f>
        <v>Y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  <c r="AAA21" s="2"/>
      <c r="AAB21" s="2"/>
      <c r="AAC21" s="2"/>
      <c r="AAD21" s="2"/>
      <c r="AAE21" s="2"/>
      <c r="AAF21" s="2"/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/>
      <c r="AAU21" s="2"/>
      <c r="AAV21" s="2"/>
      <c r="AAW21" s="2"/>
      <c r="AAX21" s="2"/>
      <c r="AAY21" s="2"/>
      <c r="AAZ21" s="2"/>
      <c r="ABA21" s="2"/>
      <c r="ABB21" s="2"/>
      <c r="ABC21" s="2"/>
      <c r="ABD21" s="2"/>
      <c r="ABE21" s="2"/>
      <c r="ABF21" s="2"/>
      <c r="ABG21" s="2"/>
      <c r="ABH21" s="2"/>
      <c r="ABI21" s="2"/>
      <c r="ABJ21" s="2"/>
      <c r="ABK21" s="2"/>
      <c r="ABL21" s="2"/>
      <c r="ABM21" s="2"/>
      <c r="ABN21" s="2"/>
      <c r="ABO21" s="2"/>
      <c r="ABP21" s="2"/>
      <c r="ABQ21" s="2"/>
      <c r="ABR21" s="2"/>
      <c r="ABS21" s="2"/>
      <c r="ABT21" s="2"/>
      <c r="ABU21" s="2"/>
      <c r="ABV21" s="2"/>
      <c r="ABW21" s="2"/>
      <c r="ABX21" s="2"/>
      <c r="ABY21" s="2"/>
      <c r="ABZ21" s="2"/>
      <c r="ACA21" s="2"/>
      <c r="ACB21" s="2"/>
      <c r="ACC21" s="2"/>
      <c r="ACD21" s="2"/>
      <c r="ACE21" s="2"/>
      <c r="ACF21" s="2"/>
      <c r="ACG21" s="2"/>
      <c r="ACH21" s="2"/>
      <c r="ACI21" s="2"/>
      <c r="ACJ21" s="2"/>
      <c r="ACK21" s="2"/>
      <c r="ACL21" s="2"/>
      <c r="ACM21" s="2"/>
      <c r="ACN21" s="2"/>
      <c r="ACO21" s="2"/>
      <c r="ACP21" s="2"/>
      <c r="ACQ21" s="2"/>
      <c r="ACR21" s="2"/>
      <c r="ACS21" s="2"/>
      <c r="ACT21" s="2"/>
      <c r="ACU21" s="2"/>
      <c r="ACV21" s="2"/>
      <c r="ACW21" s="2"/>
      <c r="ACX21" s="2"/>
      <c r="ACY21" s="2"/>
      <c r="ACZ21" s="2"/>
      <c r="ADA21" s="2"/>
      <c r="ADB21" s="2"/>
      <c r="ADC21" s="2"/>
      <c r="ADD21" s="2"/>
      <c r="ADE21" s="2"/>
      <c r="ADF21" s="2"/>
      <c r="ADG21" s="2"/>
      <c r="ADH21" s="2"/>
      <c r="ADI21" s="2"/>
      <c r="ADJ21" s="2"/>
      <c r="ADK21" s="2"/>
      <c r="ADL21" s="2"/>
      <c r="ADM21" s="2"/>
      <c r="ADN21" s="2"/>
      <c r="ADO21" s="2"/>
      <c r="ADP21" s="2"/>
      <c r="ADQ21" s="2"/>
      <c r="ADR21" s="2"/>
      <c r="ADS21" s="2"/>
      <c r="ADT21" s="2"/>
      <c r="ADU21" s="2"/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/>
      <c r="AEM21" s="2"/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/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/>
      <c r="AFM21" s="2"/>
      <c r="AFN21" s="2"/>
      <c r="AFO21" s="2"/>
      <c r="AFP21" s="2"/>
      <c r="AFQ21" s="2"/>
      <c r="AFR21" s="2"/>
      <c r="AFS21" s="2"/>
      <c r="AFT21" s="2"/>
      <c r="AFU21" s="2"/>
      <c r="AFV21" s="2"/>
      <c r="AFW21" s="2"/>
      <c r="AFX21" s="2"/>
      <c r="AFY21" s="2"/>
      <c r="AFZ21" s="2"/>
      <c r="AGA21" s="2"/>
      <c r="AGB21" s="2"/>
      <c r="AGC21" s="2"/>
      <c r="AGD21" s="2"/>
      <c r="AGE21" s="2"/>
      <c r="AGF21" s="2"/>
      <c r="AGG21" s="2"/>
      <c r="AGH21" s="2"/>
      <c r="AGI21" s="2"/>
      <c r="AGJ21" s="2"/>
      <c r="AGK21" s="2"/>
      <c r="AGL21" s="2"/>
      <c r="AGM21" s="2"/>
      <c r="AGN21" s="2"/>
      <c r="AGO21" s="2"/>
      <c r="AGP21" s="2"/>
      <c r="AGQ21" s="2"/>
      <c r="AGR21" s="2"/>
      <c r="AGS21" s="2"/>
      <c r="AGT21" s="2"/>
      <c r="AGU21" s="2"/>
      <c r="AGV21" s="2"/>
      <c r="AGW21" s="2"/>
      <c r="AGX21" s="2"/>
      <c r="AGY21" s="2"/>
      <c r="AGZ21" s="2"/>
      <c r="AHA21" s="2"/>
      <c r="AHB21" s="2"/>
      <c r="AHC21" s="2"/>
      <c r="AHD21" s="2"/>
      <c r="AHE21" s="2"/>
      <c r="AHF21" s="2"/>
      <c r="AHG21" s="2"/>
      <c r="AHH21" s="2"/>
      <c r="AHI21" s="2"/>
      <c r="AHJ21" s="2"/>
      <c r="AHK21" s="2"/>
      <c r="AHL21" s="2"/>
      <c r="AHM21" s="2"/>
      <c r="AHN21" s="2"/>
      <c r="AHO21" s="2"/>
      <c r="AHP21" s="2"/>
      <c r="AHQ21" s="2"/>
      <c r="AHR21" s="2"/>
      <c r="AHS21" s="2"/>
      <c r="AHT21" s="2"/>
      <c r="AHU21" s="2"/>
      <c r="AHV21" s="2"/>
      <c r="AHW21" s="2"/>
      <c r="AHX21" s="2"/>
      <c r="AHY21" s="2"/>
      <c r="AHZ21" s="2"/>
      <c r="AIA21" s="2"/>
      <c r="AIB21" s="2"/>
      <c r="AIC21" s="2"/>
      <c r="AID21" s="2"/>
      <c r="AIE21" s="2"/>
      <c r="AIF21" s="2"/>
      <c r="AIG21" s="2"/>
      <c r="AIH21" s="2"/>
      <c r="AII21" s="2"/>
      <c r="AIJ21" s="2"/>
      <c r="AIK21" s="2"/>
      <c r="AIL21" s="2"/>
      <c r="AIM21" s="2"/>
      <c r="AIN21" s="2"/>
      <c r="AIO21" s="2"/>
      <c r="AIP21" s="2"/>
      <c r="AIQ21" s="2"/>
      <c r="AIR21" s="2"/>
      <c r="AIS21" s="2"/>
      <c r="AIT21" s="2"/>
      <c r="AIU21" s="2"/>
      <c r="AIV21" s="2"/>
      <c r="AIW21" s="2"/>
      <c r="AIX21" s="2"/>
      <c r="AIY21" s="2"/>
      <c r="AIZ21" s="2"/>
      <c r="AJA21" s="2"/>
      <c r="AJB21" s="2"/>
      <c r="AJC21" s="2"/>
      <c r="AJD21" s="2"/>
      <c r="AJE21" s="2"/>
      <c r="AJF21" s="2"/>
      <c r="AJG21" s="2"/>
      <c r="AJH21" s="2"/>
      <c r="AJI21" s="2"/>
      <c r="AJJ21" s="2"/>
      <c r="AJK21" s="2"/>
      <c r="AJL21" s="2"/>
      <c r="AJM21" s="2"/>
      <c r="AJN21" s="2"/>
      <c r="AJO21" s="2"/>
      <c r="AJP21" s="2"/>
      <c r="AJQ21" s="2"/>
      <c r="AJR21" s="2"/>
      <c r="AJS21" s="2"/>
      <c r="AJT21" s="2"/>
      <c r="AJU21" s="2"/>
      <c r="AJV21" s="2"/>
      <c r="AJW21" s="2"/>
      <c r="AJX21" s="2"/>
      <c r="AJY21" s="2"/>
      <c r="AJZ21" s="2"/>
      <c r="AKA21" s="2"/>
      <c r="AKB21" s="2"/>
      <c r="AKC21" s="2"/>
      <c r="AKD21" s="2"/>
      <c r="AKE21" s="2"/>
      <c r="AKF21" s="2"/>
      <c r="AKG21" s="2"/>
      <c r="AKH21" s="2"/>
      <c r="AKI21" s="2"/>
      <c r="AKJ21" s="2"/>
      <c r="AKK21" s="2"/>
      <c r="AKL21" s="2"/>
      <c r="AKM21" s="2"/>
      <c r="AKN21" s="2"/>
      <c r="AKO21" s="2"/>
      <c r="AKP21" s="2"/>
      <c r="AKQ21" s="2"/>
      <c r="AKR21" s="2"/>
      <c r="AKS21" s="2"/>
      <c r="AKT21" s="2"/>
      <c r="AKU21" s="2"/>
      <c r="AKV21" s="2"/>
      <c r="AKW21" s="2"/>
      <c r="AKX21" s="2"/>
      <c r="AKY21" s="2"/>
      <c r="AKZ21" s="2"/>
      <c r="ALA21" s="2"/>
      <c r="ALB21" s="2"/>
      <c r="ALC21" s="2"/>
      <c r="ALD21" s="2"/>
      <c r="ALE21" s="2"/>
      <c r="ALF21" s="2"/>
      <c r="ALG21" s="2"/>
      <c r="ALH21" s="2"/>
      <c r="ALI21" s="2"/>
      <c r="ALJ21" s="2"/>
      <c r="ALK21" s="2"/>
      <c r="ALL21" s="2"/>
    </row>
    <row r="22" spans="1:1000" customFormat="1" ht="15" x14ac:dyDescent="0.25">
      <c r="A22" s="2" t="str">
        <f ca="1">IF(_xll.TM1RPTELISCONSOLIDATED($C$14,$C22),IF(_xll.TM1RPTELLEV($C$14,$C22)&lt;=3,_xll.TM1RPTELLEV($C$14,$C22),"D"),"N")</f>
        <v>N</v>
      </c>
      <c r="B22" s="2"/>
      <c r="C22" s="49" t="s">
        <v>126</v>
      </c>
      <c r="D22" s="8" t="str">
        <f ca="1">_xll.DBRW($C$9,$C22,D$12)</f>
        <v>4G 16Gb</v>
      </c>
      <c r="E22" s="8" t="str">
        <f ca="1">_xll.DBRW($C$9,$C22,E$12)</f>
        <v>4G 16Gb</v>
      </c>
      <c r="F22" s="9" t="str">
        <f ca="1">_xll.DBRW($C$9,$C22,F$12)</f>
        <v>Y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/>
      <c r="AAW22" s="2"/>
      <c r="AAX22" s="2"/>
      <c r="AAY22" s="2"/>
      <c r="AAZ22" s="2"/>
      <c r="ABA22" s="2"/>
      <c r="ABB22" s="2"/>
      <c r="ABC22" s="2"/>
      <c r="ABD22" s="2"/>
      <c r="ABE22" s="2"/>
      <c r="ABF22" s="2"/>
      <c r="ABG22" s="2"/>
      <c r="ABH22" s="2"/>
      <c r="ABI22" s="2"/>
      <c r="ABJ22" s="2"/>
      <c r="ABK22" s="2"/>
      <c r="ABL22" s="2"/>
      <c r="ABM22" s="2"/>
      <c r="ABN22" s="2"/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/>
      <c r="AFM22" s="2"/>
      <c r="AFN22" s="2"/>
      <c r="AFO22" s="2"/>
      <c r="AFP22" s="2"/>
      <c r="AFQ22" s="2"/>
      <c r="AFR22" s="2"/>
      <c r="AFS22" s="2"/>
      <c r="AFT22" s="2"/>
      <c r="AFU22" s="2"/>
      <c r="AFV22" s="2"/>
      <c r="AFW22" s="2"/>
      <c r="AFX22" s="2"/>
      <c r="AFY22" s="2"/>
      <c r="AFZ22" s="2"/>
      <c r="AGA22" s="2"/>
      <c r="AGB22" s="2"/>
      <c r="AGC22" s="2"/>
      <c r="AGD22" s="2"/>
      <c r="AGE22" s="2"/>
      <c r="AGF22" s="2"/>
      <c r="AGG22" s="2"/>
      <c r="AGH22" s="2"/>
      <c r="AGI22" s="2"/>
      <c r="AGJ22" s="2"/>
      <c r="AGK22" s="2"/>
      <c r="AGL22" s="2"/>
      <c r="AGM22" s="2"/>
      <c r="AGN22" s="2"/>
      <c r="AGO22" s="2"/>
      <c r="AGP22" s="2"/>
      <c r="AGQ22" s="2"/>
      <c r="AGR22" s="2"/>
      <c r="AGS22" s="2"/>
      <c r="AGT22" s="2"/>
      <c r="AGU22" s="2"/>
      <c r="AGV22" s="2"/>
      <c r="AGW22" s="2"/>
      <c r="AGX22" s="2"/>
      <c r="AGY22" s="2"/>
      <c r="AGZ22" s="2"/>
      <c r="AHA22" s="2"/>
      <c r="AHB22" s="2"/>
      <c r="AHC22" s="2"/>
      <c r="AHD22" s="2"/>
      <c r="AHE22" s="2"/>
      <c r="AHF22" s="2"/>
      <c r="AHG22" s="2"/>
      <c r="AHH22" s="2"/>
      <c r="AHI22" s="2"/>
      <c r="AHJ22" s="2"/>
      <c r="AHK22" s="2"/>
      <c r="AHL22" s="2"/>
      <c r="AHM22" s="2"/>
      <c r="AHN22" s="2"/>
      <c r="AHO22" s="2"/>
      <c r="AHP22" s="2"/>
      <c r="AHQ22" s="2"/>
      <c r="AHR22" s="2"/>
      <c r="AHS22" s="2"/>
      <c r="AHT22" s="2"/>
      <c r="AHU22" s="2"/>
      <c r="AHV22" s="2"/>
      <c r="AHW22" s="2"/>
      <c r="AHX22" s="2"/>
      <c r="AHY22" s="2"/>
      <c r="AHZ22" s="2"/>
      <c r="AIA22" s="2"/>
      <c r="AIB22" s="2"/>
      <c r="AIC22" s="2"/>
      <c r="AID22" s="2"/>
      <c r="AIE22" s="2"/>
      <c r="AIF22" s="2"/>
      <c r="AIG22" s="2"/>
      <c r="AIH22" s="2"/>
      <c r="AII22" s="2"/>
      <c r="AIJ22" s="2"/>
      <c r="AIK22" s="2"/>
      <c r="AIL22" s="2"/>
      <c r="AIM22" s="2"/>
      <c r="AIN22" s="2"/>
      <c r="AIO22" s="2"/>
      <c r="AIP22" s="2"/>
      <c r="AIQ22" s="2"/>
      <c r="AIR22" s="2"/>
      <c r="AIS22" s="2"/>
      <c r="AIT22" s="2"/>
      <c r="AIU22" s="2"/>
      <c r="AIV22" s="2"/>
      <c r="AIW22" s="2"/>
      <c r="AIX22" s="2"/>
      <c r="AIY22" s="2"/>
      <c r="AIZ22" s="2"/>
      <c r="AJA22" s="2"/>
      <c r="AJB22" s="2"/>
      <c r="AJC22" s="2"/>
      <c r="AJD22" s="2"/>
      <c r="AJE22" s="2"/>
      <c r="AJF22" s="2"/>
      <c r="AJG22" s="2"/>
      <c r="AJH22" s="2"/>
      <c r="AJI22" s="2"/>
      <c r="AJJ22" s="2"/>
      <c r="AJK22" s="2"/>
      <c r="AJL22" s="2"/>
      <c r="AJM22" s="2"/>
      <c r="AJN22" s="2"/>
      <c r="AJO22" s="2"/>
      <c r="AJP22" s="2"/>
      <c r="AJQ22" s="2"/>
      <c r="AJR22" s="2"/>
      <c r="AJS22" s="2"/>
      <c r="AJT22" s="2"/>
      <c r="AJU22" s="2"/>
      <c r="AJV22" s="2"/>
      <c r="AJW22" s="2"/>
      <c r="AJX22" s="2"/>
      <c r="AJY22" s="2"/>
      <c r="AJZ22" s="2"/>
      <c r="AKA22" s="2"/>
      <c r="AKB22" s="2"/>
      <c r="AKC22" s="2"/>
      <c r="AKD22" s="2"/>
      <c r="AKE22" s="2"/>
      <c r="AKF22" s="2"/>
      <c r="AKG22" s="2"/>
      <c r="AKH22" s="2"/>
      <c r="AKI22" s="2"/>
      <c r="AKJ22" s="2"/>
      <c r="AKK22" s="2"/>
      <c r="AKL22" s="2"/>
      <c r="AKM22" s="2"/>
      <c r="AKN22" s="2"/>
      <c r="AKO22" s="2"/>
      <c r="AKP22" s="2"/>
      <c r="AKQ22" s="2"/>
      <c r="AKR22" s="2"/>
      <c r="AKS22" s="2"/>
      <c r="AKT22" s="2"/>
      <c r="AKU22" s="2"/>
      <c r="AKV22" s="2"/>
      <c r="AKW22" s="2"/>
      <c r="AKX22" s="2"/>
      <c r="AKY22" s="2"/>
      <c r="AKZ22" s="2"/>
      <c r="ALA22" s="2"/>
      <c r="ALB22" s="2"/>
      <c r="ALC22" s="2"/>
      <c r="ALD22" s="2"/>
      <c r="ALE22" s="2"/>
      <c r="ALF22" s="2"/>
      <c r="ALG22" s="2"/>
      <c r="ALH22" s="2"/>
      <c r="ALI22" s="2"/>
      <c r="ALJ22" s="2"/>
      <c r="ALK22" s="2"/>
      <c r="ALL22" s="2"/>
    </row>
    <row r="23" spans="1:1000" customFormat="1" ht="15" x14ac:dyDescent="0.25">
      <c r="A23" s="2" t="str">
        <f ca="1">IF(_xll.TM1RPTELISCONSOLIDATED($C$14,$C23),IF(_xll.TM1RPTELLEV($C$14,$C23)&lt;=3,_xll.TM1RPTELLEV($C$14,$C23),"D"),"N")</f>
        <v>N</v>
      </c>
      <c r="B23" s="2"/>
      <c r="C23" s="49" t="s">
        <v>127</v>
      </c>
      <c r="D23" s="8" t="str">
        <f ca="1">_xll.DBRW($C$9,$C23,D$12)</f>
        <v>4G 32Gb</v>
      </c>
      <c r="E23" s="8" t="str">
        <f ca="1">_xll.DBRW($C$9,$C23,E$12)</f>
        <v>4G 32Gb</v>
      </c>
      <c r="F23" s="9" t="str">
        <f ca="1">_xll.DBRW($C$9,$C23,F$12)</f>
        <v>Y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/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/>
      <c r="AFM23" s="2"/>
      <c r="AFN23" s="2"/>
      <c r="AFO23" s="2"/>
      <c r="AFP23" s="2"/>
      <c r="AFQ23" s="2"/>
      <c r="AFR23" s="2"/>
      <c r="AFS23" s="2"/>
      <c r="AFT23" s="2"/>
      <c r="AFU23" s="2"/>
      <c r="AFV23" s="2"/>
      <c r="AFW23" s="2"/>
      <c r="AFX23" s="2"/>
      <c r="AFY23" s="2"/>
      <c r="AFZ23" s="2"/>
      <c r="AGA23" s="2"/>
      <c r="AGB23" s="2"/>
      <c r="AGC23" s="2"/>
      <c r="AGD23" s="2"/>
      <c r="AGE23" s="2"/>
      <c r="AGF23" s="2"/>
      <c r="AGG23" s="2"/>
      <c r="AGH23" s="2"/>
      <c r="AGI23" s="2"/>
      <c r="AGJ23" s="2"/>
      <c r="AGK23" s="2"/>
      <c r="AGL23" s="2"/>
      <c r="AGM23" s="2"/>
      <c r="AGN23" s="2"/>
      <c r="AGO23" s="2"/>
      <c r="AGP23" s="2"/>
      <c r="AGQ23" s="2"/>
      <c r="AGR23" s="2"/>
      <c r="AGS23" s="2"/>
      <c r="AGT23" s="2"/>
      <c r="AGU23" s="2"/>
      <c r="AGV23" s="2"/>
      <c r="AGW23" s="2"/>
      <c r="AGX23" s="2"/>
      <c r="AGY23" s="2"/>
      <c r="AGZ23" s="2"/>
      <c r="AHA23" s="2"/>
      <c r="AHB23" s="2"/>
      <c r="AHC23" s="2"/>
      <c r="AHD23" s="2"/>
      <c r="AHE23" s="2"/>
      <c r="AHF23" s="2"/>
      <c r="AHG23" s="2"/>
      <c r="AHH23" s="2"/>
      <c r="AHI23" s="2"/>
      <c r="AHJ23" s="2"/>
      <c r="AHK23" s="2"/>
      <c r="AHL23" s="2"/>
      <c r="AHM23" s="2"/>
      <c r="AHN23" s="2"/>
      <c r="AHO23" s="2"/>
      <c r="AHP23" s="2"/>
      <c r="AHQ23" s="2"/>
      <c r="AHR23" s="2"/>
      <c r="AHS23" s="2"/>
      <c r="AHT23" s="2"/>
      <c r="AHU23" s="2"/>
      <c r="AHV23" s="2"/>
      <c r="AHW23" s="2"/>
      <c r="AHX23" s="2"/>
      <c r="AHY23" s="2"/>
      <c r="AHZ23" s="2"/>
      <c r="AIA23" s="2"/>
      <c r="AIB23" s="2"/>
      <c r="AIC23" s="2"/>
      <c r="AID23" s="2"/>
      <c r="AIE23" s="2"/>
      <c r="AIF23" s="2"/>
      <c r="AIG23" s="2"/>
      <c r="AIH23" s="2"/>
      <c r="AII23" s="2"/>
      <c r="AIJ23" s="2"/>
      <c r="AIK23" s="2"/>
      <c r="AIL23" s="2"/>
      <c r="AIM23" s="2"/>
      <c r="AIN23" s="2"/>
      <c r="AIO23" s="2"/>
      <c r="AIP23" s="2"/>
      <c r="AIQ23" s="2"/>
      <c r="AIR23" s="2"/>
      <c r="AIS23" s="2"/>
      <c r="AIT23" s="2"/>
      <c r="AIU23" s="2"/>
      <c r="AIV23" s="2"/>
      <c r="AIW23" s="2"/>
      <c r="AIX23" s="2"/>
      <c r="AIY23" s="2"/>
      <c r="AIZ23" s="2"/>
      <c r="AJA23" s="2"/>
      <c r="AJB23" s="2"/>
      <c r="AJC23" s="2"/>
      <c r="AJD23" s="2"/>
      <c r="AJE23" s="2"/>
      <c r="AJF23" s="2"/>
      <c r="AJG23" s="2"/>
      <c r="AJH23" s="2"/>
      <c r="AJI23" s="2"/>
      <c r="AJJ23" s="2"/>
      <c r="AJK23" s="2"/>
      <c r="AJL23" s="2"/>
      <c r="AJM23" s="2"/>
      <c r="AJN23" s="2"/>
      <c r="AJO23" s="2"/>
      <c r="AJP23" s="2"/>
      <c r="AJQ23" s="2"/>
      <c r="AJR23" s="2"/>
      <c r="AJS23" s="2"/>
      <c r="AJT23" s="2"/>
      <c r="AJU23" s="2"/>
      <c r="AJV23" s="2"/>
      <c r="AJW23" s="2"/>
      <c r="AJX23" s="2"/>
      <c r="AJY23" s="2"/>
      <c r="AJZ23" s="2"/>
      <c r="AKA23" s="2"/>
      <c r="AKB23" s="2"/>
      <c r="AKC23" s="2"/>
      <c r="AKD23" s="2"/>
      <c r="AKE23" s="2"/>
      <c r="AKF23" s="2"/>
      <c r="AKG23" s="2"/>
      <c r="AKH23" s="2"/>
      <c r="AKI23" s="2"/>
      <c r="AKJ23" s="2"/>
      <c r="AKK23" s="2"/>
      <c r="AKL23" s="2"/>
      <c r="AKM23" s="2"/>
      <c r="AKN23" s="2"/>
      <c r="AKO23" s="2"/>
      <c r="AKP23" s="2"/>
      <c r="AKQ23" s="2"/>
      <c r="AKR23" s="2"/>
      <c r="AKS23" s="2"/>
      <c r="AKT23" s="2"/>
      <c r="AKU23" s="2"/>
      <c r="AKV23" s="2"/>
      <c r="AKW23" s="2"/>
      <c r="AKX23" s="2"/>
      <c r="AKY23" s="2"/>
      <c r="AKZ23" s="2"/>
      <c r="ALA23" s="2"/>
      <c r="ALB23" s="2"/>
      <c r="ALC23" s="2"/>
      <c r="ALD23" s="2"/>
      <c r="ALE23" s="2"/>
      <c r="ALF23" s="2"/>
      <c r="ALG23" s="2"/>
      <c r="ALH23" s="2"/>
      <c r="ALI23" s="2"/>
      <c r="ALJ23" s="2"/>
      <c r="ALK23" s="2"/>
      <c r="ALL23" s="2"/>
    </row>
    <row r="24" spans="1:1000" customFormat="1" ht="15" x14ac:dyDescent="0.25">
      <c r="A24" s="2" t="str">
        <f ca="1">IF(_xll.TM1RPTELISCONSOLIDATED($C$14,$C24),IF(_xll.TM1RPTELLEV($C$14,$C24)&lt;=3,_xll.TM1RPTELLEV($C$14,$C24),"D"),"N")</f>
        <v>N</v>
      </c>
      <c r="B24" s="2"/>
      <c r="C24" s="49" t="s">
        <v>154</v>
      </c>
      <c r="D24" s="8" t="str">
        <f ca="1">_xll.DBRW($C$9,$C24,D$12)</f>
        <v>guynew01</v>
      </c>
      <c r="E24" s="8" t="str">
        <f ca="1">_xll.DBRW($C$9,$C24,E$12)</f>
        <v/>
      </c>
      <c r="F24" s="9" t="str">
        <f ca="1">_xll.DBRW($C$9,$C24,F$12)</f>
        <v/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  <c r="AAA24" s="2"/>
      <c r="AAB24" s="2"/>
      <c r="AAC24" s="2"/>
      <c r="AAD24" s="2"/>
      <c r="AAE24" s="2"/>
      <c r="AAF24" s="2"/>
      <c r="AAG24" s="2"/>
      <c r="AAH24" s="2"/>
      <c r="AAI24" s="2"/>
      <c r="AAJ24" s="2"/>
      <c r="AAK24" s="2"/>
      <c r="AAL24" s="2"/>
      <c r="AAM24" s="2"/>
      <c r="AAN24" s="2"/>
      <c r="AAO24" s="2"/>
      <c r="AAP24" s="2"/>
      <c r="AAQ24" s="2"/>
      <c r="AAR24" s="2"/>
      <c r="AAS24" s="2"/>
      <c r="AAT24" s="2"/>
      <c r="AAU24" s="2"/>
      <c r="AAV24" s="2"/>
      <c r="AAW24" s="2"/>
      <c r="AAX24" s="2"/>
      <c r="AAY24" s="2"/>
      <c r="AAZ24" s="2"/>
      <c r="ABA24" s="2"/>
      <c r="ABB24" s="2"/>
      <c r="ABC24" s="2"/>
      <c r="ABD24" s="2"/>
      <c r="ABE24" s="2"/>
      <c r="ABF24" s="2"/>
      <c r="ABG24" s="2"/>
      <c r="ABH24" s="2"/>
      <c r="ABI24" s="2"/>
      <c r="ABJ24" s="2"/>
      <c r="ABK24" s="2"/>
      <c r="ABL24" s="2"/>
      <c r="ABM24" s="2"/>
      <c r="ABN24" s="2"/>
      <c r="ABO24" s="2"/>
      <c r="ABP24" s="2"/>
      <c r="ABQ24" s="2"/>
      <c r="ABR24" s="2"/>
      <c r="ABS24" s="2"/>
      <c r="ABT24" s="2"/>
      <c r="ABU24" s="2"/>
      <c r="ABV24" s="2"/>
      <c r="ABW24" s="2"/>
      <c r="ABX24" s="2"/>
      <c r="ABY24" s="2"/>
      <c r="ABZ24" s="2"/>
      <c r="ACA24" s="2"/>
      <c r="ACB24" s="2"/>
      <c r="ACC24" s="2"/>
      <c r="ACD24" s="2"/>
      <c r="ACE24" s="2"/>
      <c r="ACF24" s="2"/>
      <c r="ACG24" s="2"/>
      <c r="ACH24" s="2"/>
      <c r="ACI24" s="2"/>
      <c r="ACJ24" s="2"/>
      <c r="ACK24" s="2"/>
      <c r="ACL24" s="2"/>
      <c r="ACM24" s="2"/>
      <c r="ACN24" s="2"/>
      <c r="ACO24" s="2"/>
      <c r="ACP24" s="2"/>
      <c r="ACQ24" s="2"/>
      <c r="ACR24" s="2"/>
      <c r="ACS24" s="2"/>
      <c r="ACT24" s="2"/>
      <c r="ACU24" s="2"/>
      <c r="ACV24" s="2"/>
      <c r="ACW24" s="2"/>
      <c r="ACX24" s="2"/>
      <c r="ACY24" s="2"/>
      <c r="ACZ24" s="2"/>
      <c r="ADA24" s="2"/>
      <c r="ADB24" s="2"/>
      <c r="ADC24" s="2"/>
      <c r="ADD24" s="2"/>
      <c r="ADE24" s="2"/>
      <c r="ADF24" s="2"/>
      <c r="ADG24" s="2"/>
      <c r="ADH24" s="2"/>
      <c r="ADI24" s="2"/>
      <c r="ADJ24" s="2"/>
      <c r="ADK24" s="2"/>
      <c r="ADL24" s="2"/>
      <c r="ADM24" s="2"/>
      <c r="ADN24" s="2"/>
      <c r="ADO24" s="2"/>
      <c r="ADP24" s="2"/>
      <c r="ADQ24" s="2"/>
      <c r="ADR24" s="2"/>
      <c r="ADS24" s="2"/>
      <c r="ADT24" s="2"/>
      <c r="ADU24" s="2"/>
      <c r="ADV24" s="2"/>
      <c r="ADW24" s="2"/>
      <c r="ADX24" s="2"/>
      <c r="ADY24" s="2"/>
      <c r="ADZ24" s="2"/>
      <c r="AEA24" s="2"/>
      <c r="AEB24" s="2"/>
      <c r="AEC24" s="2"/>
      <c r="AED24" s="2"/>
      <c r="AEE24" s="2"/>
      <c r="AEF24" s="2"/>
      <c r="AEG24" s="2"/>
      <c r="AEH24" s="2"/>
      <c r="AEI24" s="2"/>
      <c r="AEJ24" s="2"/>
      <c r="AEK24" s="2"/>
      <c r="AEL24" s="2"/>
      <c r="AEM24" s="2"/>
      <c r="AEN24" s="2"/>
      <c r="AEO24" s="2"/>
      <c r="AEP24" s="2"/>
      <c r="AEQ24" s="2"/>
      <c r="AER24" s="2"/>
      <c r="AES24" s="2"/>
      <c r="AET24" s="2"/>
      <c r="AEU24" s="2"/>
      <c r="AEV24" s="2"/>
      <c r="AEW24" s="2"/>
      <c r="AEX24" s="2"/>
      <c r="AEY24" s="2"/>
      <c r="AEZ24" s="2"/>
      <c r="AFA24" s="2"/>
      <c r="AFB24" s="2"/>
      <c r="AFC24" s="2"/>
      <c r="AFD24" s="2"/>
      <c r="AFE24" s="2"/>
      <c r="AFF24" s="2"/>
      <c r="AFG24" s="2"/>
      <c r="AFH24" s="2"/>
      <c r="AFI24" s="2"/>
      <c r="AFJ24" s="2"/>
      <c r="AFK24" s="2"/>
      <c r="AFL24" s="2"/>
      <c r="AFM24" s="2"/>
      <c r="AFN24" s="2"/>
      <c r="AFO24" s="2"/>
      <c r="AFP24" s="2"/>
      <c r="AFQ24" s="2"/>
      <c r="AFR24" s="2"/>
      <c r="AFS24" s="2"/>
      <c r="AFT24" s="2"/>
      <c r="AFU24" s="2"/>
      <c r="AFV24" s="2"/>
      <c r="AFW24" s="2"/>
      <c r="AFX24" s="2"/>
      <c r="AFY24" s="2"/>
      <c r="AFZ24" s="2"/>
      <c r="AGA24" s="2"/>
      <c r="AGB24" s="2"/>
      <c r="AGC24" s="2"/>
      <c r="AGD24" s="2"/>
      <c r="AGE24" s="2"/>
      <c r="AGF24" s="2"/>
      <c r="AGG24" s="2"/>
      <c r="AGH24" s="2"/>
      <c r="AGI24" s="2"/>
      <c r="AGJ24" s="2"/>
      <c r="AGK24" s="2"/>
      <c r="AGL24" s="2"/>
      <c r="AGM24" s="2"/>
      <c r="AGN24" s="2"/>
      <c r="AGO24" s="2"/>
      <c r="AGP24" s="2"/>
      <c r="AGQ24" s="2"/>
      <c r="AGR24" s="2"/>
      <c r="AGS24" s="2"/>
      <c r="AGT24" s="2"/>
      <c r="AGU24" s="2"/>
      <c r="AGV24" s="2"/>
      <c r="AGW24" s="2"/>
      <c r="AGX24" s="2"/>
      <c r="AGY24" s="2"/>
      <c r="AGZ24" s="2"/>
      <c r="AHA24" s="2"/>
      <c r="AHB24" s="2"/>
      <c r="AHC24" s="2"/>
      <c r="AHD24" s="2"/>
      <c r="AHE24" s="2"/>
      <c r="AHF24" s="2"/>
      <c r="AHG24" s="2"/>
      <c r="AHH24" s="2"/>
      <c r="AHI24" s="2"/>
      <c r="AHJ24" s="2"/>
      <c r="AHK24" s="2"/>
      <c r="AHL24" s="2"/>
      <c r="AHM24" s="2"/>
      <c r="AHN24" s="2"/>
      <c r="AHO24" s="2"/>
      <c r="AHP24" s="2"/>
      <c r="AHQ24" s="2"/>
      <c r="AHR24" s="2"/>
      <c r="AHS24" s="2"/>
      <c r="AHT24" s="2"/>
      <c r="AHU24" s="2"/>
      <c r="AHV24" s="2"/>
      <c r="AHW24" s="2"/>
      <c r="AHX24" s="2"/>
      <c r="AHY24" s="2"/>
      <c r="AHZ24" s="2"/>
      <c r="AIA24" s="2"/>
      <c r="AIB24" s="2"/>
      <c r="AIC24" s="2"/>
      <c r="AID24" s="2"/>
      <c r="AIE24" s="2"/>
      <c r="AIF24" s="2"/>
      <c r="AIG24" s="2"/>
      <c r="AIH24" s="2"/>
      <c r="AII24" s="2"/>
      <c r="AIJ24" s="2"/>
      <c r="AIK24" s="2"/>
      <c r="AIL24" s="2"/>
      <c r="AIM24" s="2"/>
      <c r="AIN24" s="2"/>
      <c r="AIO24" s="2"/>
      <c r="AIP24" s="2"/>
      <c r="AIQ24" s="2"/>
      <c r="AIR24" s="2"/>
      <c r="AIS24" s="2"/>
      <c r="AIT24" s="2"/>
      <c r="AIU24" s="2"/>
      <c r="AIV24" s="2"/>
      <c r="AIW24" s="2"/>
      <c r="AIX24" s="2"/>
      <c r="AIY24" s="2"/>
      <c r="AIZ24" s="2"/>
      <c r="AJA24" s="2"/>
      <c r="AJB24" s="2"/>
      <c r="AJC24" s="2"/>
      <c r="AJD24" s="2"/>
      <c r="AJE24" s="2"/>
      <c r="AJF24" s="2"/>
      <c r="AJG24" s="2"/>
      <c r="AJH24" s="2"/>
      <c r="AJI24" s="2"/>
      <c r="AJJ24" s="2"/>
      <c r="AJK24" s="2"/>
      <c r="AJL24" s="2"/>
      <c r="AJM24" s="2"/>
      <c r="AJN24" s="2"/>
      <c r="AJO24" s="2"/>
      <c r="AJP24" s="2"/>
      <c r="AJQ24" s="2"/>
      <c r="AJR24" s="2"/>
      <c r="AJS24" s="2"/>
      <c r="AJT24" s="2"/>
      <c r="AJU24" s="2"/>
      <c r="AJV24" s="2"/>
      <c r="AJW24" s="2"/>
      <c r="AJX24" s="2"/>
      <c r="AJY24" s="2"/>
      <c r="AJZ24" s="2"/>
      <c r="AKA24" s="2"/>
      <c r="AKB24" s="2"/>
      <c r="AKC24" s="2"/>
      <c r="AKD24" s="2"/>
      <c r="AKE24" s="2"/>
      <c r="AKF24" s="2"/>
      <c r="AKG24" s="2"/>
      <c r="AKH24" s="2"/>
      <c r="AKI24" s="2"/>
      <c r="AKJ24" s="2"/>
      <c r="AKK24" s="2"/>
      <c r="AKL24" s="2"/>
      <c r="AKM24" s="2"/>
      <c r="AKN24" s="2"/>
      <c r="AKO24" s="2"/>
      <c r="AKP24" s="2"/>
      <c r="AKQ24" s="2"/>
      <c r="AKR24" s="2"/>
      <c r="AKS24" s="2"/>
      <c r="AKT24" s="2"/>
      <c r="AKU24" s="2"/>
      <c r="AKV24" s="2"/>
      <c r="AKW24" s="2"/>
      <c r="AKX24" s="2"/>
      <c r="AKY24" s="2"/>
      <c r="AKZ24" s="2"/>
      <c r="ALA24" s="2"/>
      <c r="ALB24" s="2"/>
      <c r="ALC24" s="2"/>
      <c r="ALD24" s="2"/>
      <c r="ALE24" s="2"/>
      <c r="ALF24" s="2"/>
      <c r="ALG24" s="2"/>
      <c r="ALH24" s="2"/>
      <c r="ALI24" s="2"/>
      <c r="ALJ24" s="2"/>
      <c r="ALK24" s="2"/>
      <c r="ALL24" s="2"/>
    </row>
    <row r="25" spans="1:1000" customFormat="1" ht="15" x14ac:dyDescent="0.25">
      <c r="A25" s="2" t="str">
        <f ca="1">IF(_xll.TM1RPTELISCONSOLIDATED($C$14,$C25),IF(_xll.TM1RPTELLEV($C$14,$C25)&lt;=3,_xll.TM1RPTELLEV($C$14,$C25),"D"),"N")</f>
        <v>N</v>
      </c>
      <c r="B25" s="2"/>
      <c r="C25" s="49" t="s">
        <v>155</v>
      </c>
      <c r="D25" s="8" t="str">
        <f ca="1">_xll.DBRW($C$9,$C25,D$12)</f>
        <v>l</v>
      </c>
      <c r="E25" s="8" t="str">
        <f ca="1">_xll.DBRW($C$9,$C25,E$12)</f>
        <v/>
      </c>
      <c r="F25" s="9" t="str">
        <f ca="1">_xll.DBRW($C$9,$C25,F$12)</f>
        <v/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  <c r="AAA25" s="2"/>
      <c r="AAB25" s="2"/>
      <c r="AAC25" s="2"/>
      <c r="AAD25" s="2"/>
      <c r="AAE25" s="2"/>
      <c r="AAF25" s="2"/>
      <c r="AAG25" s="2"/>
      <c r="AAH25" s="2"/>
      <c r="AAI25" s="2"/>
      <c r="AAJ25" s="2"/>
      <c r="AAK25" s="2"/>
      <c r="AAL25" s="2"/>
      <c r="AAM25" s="2"/>
      <c r="AAN25" s="2"/>
      <c r="AAO25" s="2"/>
      <c r="AAP25" s="2"/>
      <c r="AAQ25" s="2"/>
      <c r="AAR25" s="2"/>
      <c r="AAS25" s="2"/>
      <c r="AAT25" s="2"/>
      <c r="AAU25" s="2"/>
      <c r="AAV25" s="2"/>
      <c r="AAW25" s="2"/>
      <c r="AAX25" s="2"/>
      <c r="AAY25" s="2"/>
      <c r="AAZ25" s="2"/>
      <c r="ABA25" s="2"/>
      <c r="ABB25" s="2"/>
      <c r="ABC25" s="2"/>
      <c r="ABD25" s="2"/>
      <c r="ABE25" s="2"/>
      <c r="ABF25" s="2"/>
      <c r="ABG25" s="2"/>
      <c r="ABH25" s="2"/>
      <c r="ABI25" s="2"/>
      <c r="ABJ25" s="2"/>
      <c r="ABK25" s="2"/>
      <c r="ABL25" s="2"/>
      <c r="ABM25" s="2"/>
      <c r="ABN25" s="2"/>
      <c r="ABO25" s="2"/>
      <c r="ABP25" s="2"/>
      <c r="ABQ25" s="2"/>
      <c r="ABR25" s="2"/>
      <c r="ABS25" s="2"/>
      <c r="ABT25" s="2"/>
      <c r="ABU25" s="2"/>
      <c r="ABV25" s="2"/>
      <c r="ABW25" s="2"/>
      <c r="ABX25" s="2"/>
      <c r="ABY25" s="2"/>
      <c r="ABZ25" s="2"/>
      <c r="ACA25" s="2"/>
      <c r="ACB25" s="2"/>
      <c r="ACC25" s="2"/>
      <c r="ACD25" s="2"/>
      <c r="ACE25" s="2"/>
      <c r="ACF25" s="2"/>
      <c r="ACG25" s="2"/>
      <c r="ACH25" s="2"/>
      <c r="ACI25" s="2"/>
      <c r="ACJ25" s="2"/>
      <c r="ACK25" s="2"/>
      <c r="ACL25" s="2"/>
      <c r="ACM25" s="2"/>
      <c r="ACN25" s="2"/>
      <c r="ACO25" s="2"/>
      <c r="ACP25" s="2"/>
      <c r="ACQ25" s="2"/>
      <c r="ACR25" s="2"/>
      <c r="ACS25" s="2"/>
      <c r="ACT25" s="2"/>
      <c r="ACU25" s="2"/>
      <c r="ACV25" s="2"/>
      <c r="ACW25" s="2"/>
      <c r="ACX25" s="2"/>
      <c r="ACY25" s="2"/>
      <c r="ACZ25" s="2"/>
      <c r="ADA25" s="2"/>
      <c r="ADB25" s="2"/>
      <c r="ADC25" s="2"/>
      <c r="ADD25" s="2"/>
      <c r="ADE25" s="2"/>
      <c r="ADF25" s="2"/>
      <c r="ADG25" s="2"/>
      <c r="ADH25" s="2"/>
      <c r="ADI25" s="2"/>
      <c r="ADJ25" s="2"/>
      <c r="ADK25" s="2"/>
      <c r="ADL25" s="2"/>
      <c r="ADM25" s="2"/>
      <c r="ADN25" s="2"/>
      <c r="ADO25" s="2"/>
      <c r="ADP25" s="2"/>
      <c r="ADQ25" s="2"/>
      <c r="ADR25" s="2"/>
      <c r="ADS25" s="2"/>
      <c r="ADT25" s="2"/>
      <c r="ADU25" s="2"/>
      <c r="ADV25" s="2"/>
      <c r="ADW25" s="2"/>
      <c r="ADX25" s="2"/>
      <c r="ADY25" s="2"/>
      <c r="ADZ25" s="2"/>
      <c r="AEA25" s="2"/>
      <c r="AEB25" s="2"/>
      <c r="AEC25" s="2"/>
      <c r="AED25" s="2"/>
      <c r="AEE25" s="2"/>
      <c r="AEF25" s="2"/>
      <c r="AEG25" s="2"/>
      <c r="AEH25" s="2"/>
      <c r="AEI25" s="2"/>
      <c r="AEJ25" s="2"/>
      <c r="AEK25" s="2"/>
      <c r="AEL25" s="2"/>
      <c r="AEM25" s="2"/>
      <c r="AEN25" s="2"/>
      <c r="AEO25" s="2"/>
      <c r="AEP25" s="2"/>
      <c r="AEQ25" s="2"/>
      <c r="AER25" s="2"/>
      <c r="AES25" s="2"/>
      <c r="AET25" s="2"/>
      <c r="AEU25" s="2"/>
      <c r="AEV25" s="2"/>
      <c r="AEW25" s="2"/>
      <c r="AEX25" s="2"/>
      <c r="AEY25" s="2"/>
      <c r="AEZ25" s="2"/>
      <c r="AFA25" s="2"/>
      <c r="AFB25" s="2"/>
      <c r="AFC25" s="2"/>
      <c r="AFD25" s="2"/>
      <c r="AFE25" s="2"/>
      <c r="AFF25" s="2"/>
      <c r="AFG25" s="2"/>
      <c r="AFH25" s="2"/>
      <c r="AFI25" s="2"/>
      <c r="AFJ25" s="2"/>
      <c r="AFK25" s="2"/>
      <c r="AFL25" s="2"/>
      <c r="AFM25" s="2"/>
      <c r="AFN25" s="2"/>
      <c r="AFO25" s="2"/>
      <c r="AFP25" s="2"/>
      <c r="AFQ25" s="2"/>
      <c r="AFR25" s="2"/>
      <c r="AFS25" s="2"/>
      <c r="AFT25" s="2"/>
      <c r="AFU25" s="2"/>
      <c r="AFV25" s="2"/>
      <c r="AFW25" s="2"/>
      <c r="AFX25" s="2"/>
      <c r="AFY25" s="2"/>
      <c r="AFZ25" s="2"/>
      <c r="AGA25" s="2"/>
      <c r="AGB25" s="2"/>
      <c r="AGC25" s="2"/>
      <c r="AGD25" s="2"/>
      <c r="AGE25" s="2"/>
      <c r="AGF25" s="2"/>
      <c r="AGG25" s="2"/>
      <c r="AGH25" s="2"/>
      <c r="AGI25" s="2"/>
      <c r="AGJ25" s="2"/>
      <c r="AGK25" s="2"/>
      <c r="AGL25" s="2"/>
      <c r="AGM25" s="2"/>
      <c r="AGN25" s="2"/>
      <c r="AGO25" s="2"/>
      <c r="AGP25" s="2"/>
      <c r="AGQ25" s="2"/>
      <c r="AGR25" s="2"/>
      <c r="AGS25" s="2"/>
      <c r="AGT25" s="2"/>
      <c r="AGU25" s="2"/>
      <c r="AGV25" s="2"/>
      <c r="AGW25" s="2"/>
      <c r="AGX25" s="2"/>
      <c r="AGY25" s="2"/>
      <c r="AGZ25" s="2"/>
      <c r="AHA25" s="2"/>
      <c r="AHB25" s="2"/>
      <c r="AHC25" s="2"/>
      <c r="AHD25" s="2"/>
      <c r="AHE25" s="2"/>
      <c r="AHF25" s="2"/>
      <c r="AHG25" s="2"/>
      <c r="AHH25" s="2"/>
      <c r="AHI25" s="2"/>
      <c r="AHJ25" s="2"/>
      <c r="AHK25" s="2"/>
      <c r="AHL25" s="2"/>
      <c r="AHM25" s="2"/>
      <c r="AHN25" s="2"/>
      <c r="AHO25" s="2"/>
      <c r="AHP25" s="2"/>
      <c r="AHQ25" s="2"/>
      <c r="AHR25" s="2"/>
      <c r="AHS25" s="2"/>
      <c r="AHT25" s="2"/>
      <c r="AHU25" s="2"/>
      <c r="AHV25" s="2"/>
      <c r="AHW25" s="2"/>
      <c r="AHX25" s="2"/>
      <c r="AHY25" s="2"/>
      <c r="AHZ25" s="2"/>
      <c r="AIA25" s="2"/>
      <c r="AIB25" s="2"/>
      <c r="AIC25" s="2"/>
      <c r="AID25" s="2"/>
      <c r="AIE25" s="2"/>
      <c r="AIF25" s="2"/>
      <c r="AIG25" s="2"/>
      <c r="AIH25" s="2"/>
      <c r="AII25" s="2"/>
      <c r="AIJ25" s="2"/>
      <c r="AIK25" s="2"/>
      <c r="AIL25" s="2"/>
      <c r="AIM25" s="2"/>
      <c r="AIN25" s="2"/>
      <c r="AIO25" s="2"/>
      <c r="AIP25" s="2"/>
      <c r="AIQ25" s="2"/>
      <c r="AIR25" s="2"/>
      <c r="AIS25" s="2"/>
      <c r="AIT25" s="2"/>
      <c r="AIU25" s="2"/>
      <c r="AIV25" s="2"/>
      <c r="AIW25" s="2"/>
      <c r="AIX25" s="2"/>
      <c r="AIY25" s="2"/>
      <c r="AIZ25" s="2"/>
      <c r="AJA25" s="2"/>
      <c r="AJB25" s="2"/>
      <c r="AJC25" s="2"/>
      <c r="AJD25" s="2"/>
      <c r="AJE25" s="2"/>
      <c r="AJF25" s="2"/>
      <c r="AJG25" s="2"/>
      <c r="AJH25" s="2"/>
      <c r="AJI25" s="2"/>
      <c r="AJJ25" s="2"/>
      <c r="AJK25" s="2"/>
      <c r="AJL25" s="2"/>
      <c r="AJM25" s="2"/>
      <c r="AJN25" s="2"/>
      <c r="AJO25" s="2"/>
      <c r="AJP25" s="2"/>
      <c r="AJQ25" s="2"/>
      <c r="AJR25" s="2"/>
      <c r="AJS25" s="2"/>
      <c r="AJT25" s="2"/>
      <c r="AJU25" s="2"/>
      <c r="AJV25" s="2"/>
      <c r="AJW25" s="2"/>
      <c r="AJX25" s="2"/>
      <c r="AJY25" s="2"/>
      <c r="AJZ25" s="2"/>
      <c r="AKA25" s="2"/>
      <c r="AKB25" s="2"/>
      <c r="AKC25" s="2"/>
      <c r="AKD25" s="2"/>
      <c r="AKE25" s="2"/>
      <c r="AKF25" s="2"/>
      <c r="AKG25" s="2"/>
      <c r="AKH25" s="2"/>
      <c r="AKI25" s="2"/>
      <c r="AKJ25" s="2"/>
      <c r="AKK25" s="2"/>
      <c r="AKL25" s="2"/>
      <c r="AKM25" s="2"/>
      <c r="AKN25" s="2"/>
      <c r="AKO25" s="2"/>
      <c r="AKP25" s="2"/>
      <c r="AKQ25" s="2"/>
      <c r="AKR25" s="2"/>
      <c r="AKS25" s="2"/>
      <c r="AKT25" s="2"/>
      <c r="AKU25" s="2"/>
      <c r="AKV25" s="2"/>
      <c r="AKW25" s="2"/>
      <c r="AKX25" s="2"/>
      <c r="AKY25" s="2"/>
      <c r="AKZ25" s="2"/>
      <c r="ALA25" s="2"/>
      <c r="ALB25" s="2"/>
      <c r="ALC25" s="2"/>
      <c r="ALD25" s="2"/>
      <c r="ALE25" s="2"/>
      <c r="ALF25" s="2"/>
      <c r="ALG25" s="2"/>
      <c r="ALH25" s="2"/>
      <c r="ALI25" s="2"/>
      <c r="ALJ25" s="2"/>
      <c r="ALK25" s="2"/>
      <c r="ALL25" s="2"/>
    </row>
    <row r="26" spans="1:1000" customFormat="1" ht="15" x14ac:dyDescent="0.25">
      <c r="A26" s="2">
        <f ca="1">IF(_xll.TM1RPTELISCONSOLIDATED($C$14,$C26),IF(_xll.TM1RPTELLEV($C$14,$C26)&lt;=3,_xll.TM1RPTELLEV($C$14,$C26),"D"),"N")</f>
        <v>2</v>
      </c>
      <c r="B26" s="2"/>
      <c r="C26" s="48" t="s">
        <v>128</v>
      </c>
      <c r="D26" s="28" t="str">
        <f ca="1">_xll.DBRW($C$9,$C26,D$12)</f>
        <v>Phone Only</v>
      </c>
      <c r="E26" s="28" t="str">
        <f ca="1">_xll.DBRW($C$9,$C26,E$12)</f>
        <v>Phone Only</v>
      </c>
      <c r="F26" s="55" t="str">
        <f ca="1">_xll.DBRW($C$9,$C26,F$12)</f>
        <v>Y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  <c r="AAA26" s="2"/>
      <c r="AAB26" s="2"/>
      <c r="AAC26" s="2"/>
      <c r="AAD26" s="2"/>
      <c r="AAE26" s="2"/>
      <c r="AAF26" s="2"/>
      <c r="AAG26" s="2"/>
      <c r="AAH26" s="2"/>
      <c r="AAI26" s="2"/>
      <c r="AAJ26" s="2"/>
      <c r="AAK26" s="2"/>
      <c r="AAL26" s="2"/>
      <c r="AAM26" s="2"/>
      <c r="AAN26" s="2"/>
      <c r="AAO26" s="2"/>
      <c r="AAP26" s="2"/>
      <c r="AAQ26" s="2"/>
      <c r="AAR26" s="2"/>
      <c r="AAS26" s="2"/>
      <c r="AAT26" s="2"/>
      <c r="AAU26" s="2"/>
      <c r="AAV26" s="2"/>
      <c r="AAW26" s="2"/>
      <c r="AAX26" s="2"/>
      <c r="AAY26" s="2"/>
      <c r="AAZ26" s="2"/>
      <c r="ABA26" s="2"/>
      <c r="ABB26" s="2"/>
      <c r="ABC26" s="2"/>
      <c r="ABD26" s="2"/>
      <c r="ABE26" s="2"/>
      <c r="ABF26" s="2"/>
      <c r="ABG26" s="2"/>
      <c r="ABH26" s="2"/>
      <c r="ABI26" s="2"/>
      <c r="ABJ26" s="2"/>
      <c r="ABK26" s="2"/>
      <c r="ABL26" s="2"/>
      <c r="ABM26" s="2"/>
      <c r="ABN26" s="2"/>
      <c r="ABO26" s="2"/>
      <c r="ABP26" s="2"/>
      <c r="ABQ26" s="2"/>
      <c r="ABR26" s="2"/>
      <c r="ABS26" s="2"/>
      <c r="ABT26" s="2"/>
      <c r="ABU26" s="2"/>
      <c r="ABV26" s="2"/>
      <c r="ABW26" s="2"/>
      <c r="ABX26" s="2"/>
      <c r="ABY26" s="2"/>
      <c r="ABZ26" s="2"/>
      <c r="ACA26" s="2"/>
      <c r="ACB26" s="2"/>
      <c r="ACC26" s="2"/>
      <c r="ACD26" s="2"/>
      <c r="ACE26" s="2"/>
      <c r="ACF26" s="2"/>
      <c r="ACG26" s="2"/>
      <c r="ACH26" s="2"/>
      <c r="ACI26" s="2"/>
      <c r="ACJ26" s="2"/>
      <c r="ACK26" s="2"/>
      <c r="ACL26" s="2"/>
      <c r="ACM26" s="2"/>
      <c r="ACN26" s="2"/>
      <c r="ACO26" s="2"/>
      <c r="ACP26" s="2"/>
      <c r="ACQ26" s="2"/>
      <c r="ACR26" s="2"/>
      <c r="ACS26" s="2"/>
      <c r="ACT26" s="2"/>
      <c r="ACU26" s="2"/>
      <c r="ACV26" s="2"/>
      <c r="ACW26" s="2"/>
      <c r="ACX26" s="2"/>
      <c r="ACY26" s="2"/>
      <c r="ACZ26" s="2"/>
      <c r="ADA26" s="2"/>
      <c r="ADB26" s="2"/>
      <c r="ADC26" s="2"/>
      <c r="ADD26" s="2"/>
      <c r="ADE26" s="2"/>
      <c r="ADF26" s="2"/>
      <c r="ADG26" s="2"/>
      <c r="ADH26" s="2"/>
      <c r="ADI26" s="2"/>
      <c r="ADJ26" s="2"/>
      <c r="ADK26" s="2"/>
      <c r="ADL26" s="2"/>
      <c r="ADM26" s="2"/>
      <c r="ADN26" s="2"/>
      <c r="ADO26" s="2"/>
      <c r="ADP26" s="2"/>
      <c r="ADQ26" s="2"/>
      <c r="ADR26" s="2"/>
      <c r="ADS26" s="2"/>
      <c r="ADT26" s="2"/>
      <c r="ADU26" s="2"/>
      <c r="ADV26" s="2"/>
      <c r="ADW26" s="2"/>
      <c r="ADX26" s="2"/>
      <c r="ADY26" s="2"/>
      <c r="ADZ26" s="2"/>
      <c r="AEA26" s="2"/>
      <c r="AEB26" s="2"/>
      <c r="AEC26" s="2"/>
      <c r="AED26" s="2"/>
      <c r="AEE26" s="2"/>
      <c r="AEF26" s="2"/>
      <c r="AEG26" s="2"/>
      <c r="AEH26" s="2"/>
      <c r="AEI26" s="2"/>
      <c r="AEJ26" s="2"/>
      <c r="AEK26" s="2"/>
      <c r="AEL26" s="2"/>
      <c r="AEM26" s="2"/>
      <c r="AEN26" s="2"/>
      <c r="AEO26" s="2"/>
      <c r="AEP26" s="2"/>
      <c r="AEQ26" s="2"/>
      <c r="AER26" s="2"/>
      <c r="AES26" s="2"/>
      <c r="AET26" s="2"/>
      <c r="AEU26" s="2"/>
      <c r="AEV26" s="2"/>
      <c r="AEW26" s="2"/>
      <c r="AEX26" s="2"/>
      <c r="AEY26" s="2"/>
      <c r="AEZ26" s="2"/>
      <c r="AFA26" s="2"/>
      <c r="AFB26" s="2"/>
      <c r="AFC26" s="2"/>
      <c r="AFD26" s="2"/>
      <c r="AFE26" s="2"/>
      <c r="AFF26" s="2"/>
      <c r="AFG26" s="2"/>
      <c r="AFH26" s="2"/>
      <c r="AFI26" s="2"/>
      <c r="AFJ26" s="2"/>
      <c r="AFK26" s="2"/>
      <c r="AFL26" s="2"/>
      <c r="AFM26" s="2"/>
      <c r="AFN26" s="2"/>
      <c r="AFO26" s="2"/>
      <c r="AFP26" s="2"/>
      <c r="AFQ26" s="2"/>
      <c r="AFR26" s="2"/>
      <c r="AFS26" s="2"/>
      <c r="AFT26" s="2"/>
      <c r="AFU26" s="2"/>
      <c r="AFV26" s="2"/>
      <c r="AFW26" s="2"/>
      <c r="AFX26" s="2"/>
      <c r="AFY26" s="2"/>
      <c r="AFZ26" s="2"/>
      <c r="AGA26" s="2"/>
      <c r="AGB26" s="2"/>
      <c r="AGC26" s="2"/>
      <c r="AGD26" s="2"/>
      <c r="AGE26" s="2"/>
      <c r="AGF26" s="2"/>
      <c r="AGG26" s="2"/>
      <c r="AGH26" s="2"/>
      <c r="AGI26" s="2"/>
      <c r="AGJ26" s="2"/>
      <c r="AGK26" s="2"/>
      <c r="AGL26" s="2"/>
      <c r="AGM26" s="2"/>
      <c r="AGN26" s="2"/>
      <c r="AGO26" s="2"/>
      <c r="AGP26" s="2"/>
      <c r="AGQ26" s="2"/>
      <c r="AGR26" s="2"/>
      <c r="AGS26" s="2"/>
      <c r="AGT26" s="2"/>
      <c r="AGU26" s="2"/>
      <c r="AGV26" s="2"/>
      <c r="AGW26" s="2"/>
      <c r="AGX26" s="2"/>
      <c r="AGY26" s="2"/>
      <c r="AGZ26" s="2"/>
      <c r="AHA26" s="2"/>
      <c r="AHB26" s="2"/>
      <c r="AHC26" s="2"/>
      <c r="AHD26" s="2"/>
      <c r="AHE26" s="2"/>
      <c r="AHF26" s="2"/>
      <c r="AHG26" s="2"/>
      <c r="AHH26" s="2"/>
      <c r="AHI26" s="2"/>
      <c r="AHJ26" s="2"/>
      <c r="AHK26" s="2"/>
      <c r="AHL26" s="2"/>
      <c r="AHM26" s="2"/>
      <c r="AHN26" s="2"/>
      <c r="AHO26" s="2"/>
      <c r="AHP26" s="2"/>
      <c r="AHQ26" s="2"/>
      <c r="AHR26" s="2"/>
      <c r="AHS26" s="2"/>
      <c r="AHT26" s="2"/>
      <c r="AHU26" s="2"/>
      <c r="AHV26" s="2"/>
      <c r="AHW26" s="2"/>
      <c r="AHX26" s="2"/>
      <c r="AHY26" s="2"/>
      <c r="AHZ26" s="2"/>
      <c r="AIA26" s="2"/>
      <c r="AIB26" s="2"/>
      <c r="AIC26" s="2"/>
      <c r="AID26" s="2"/>
      <c r="AIE26" s="2"/>
      <c r="AIF26" s="2"/>
      <c r="AIG26" s="2"/>
      <c r="AIH26" s="2"/>
      <c r="AII26" s="2"/>
      <c r="AIJ26" s="2"/>
      <c r="AIK26" s="2"/>
      <c r="AIL26" s="2"/>
      <c r="AIM26" s="2"/>
      <c r="AIN26" s="2"/>
      <c r="AIO26" s="2"/>
      <c r="AIP26" s="2"/>
      <c r="AIQ26" s="2"/>
      <c r="AIR26" s="2"/>
      <c r="AIS26" s="2"/>
      <c r="AIT26" s="2"/>
      <c r="AIU26" s="2"/>
      <c r="AIV26" s="2"/>
      <c r="AIW26" s="2"/>
      <c r="AIX26" s="2"/>
      <c r="AIY26" s="2"/>
      <c r="AIZ26" s="2"/>
      <c r="AJA26" s="2"/>
      <c r="AJB26" s="2"/>
      <c r="AJC26" s="2"/>
      <c r="AJD26" s="2"/>
      <c r="AJE26" s="2"/>
      <c r="AJF26" s="2"/>
      <c r="AJG26" s="2"/>
      <c r="AJH26" s="2"/>
      <c r="AJI26" s="2"/>
      <c r="AJJ26" s="2"/>
      <c r="AJK26" s="2"/>
      <c r="AJL26" s="2"/>
      <c r="AJM26" s="2"/>
      <c r="AJN26" s="2"/>
      <c r="AJO26" s="2"/>
      <c r="AJP26" s="2"/>
      <c r="AJQ26" s="2"/>
      <c r="AJR26" s="2"/>
      <c r="AJS26" s="2"/>
      <c r="AJT26" s="2"/>
      <c r="AJU26" s="2"/>
      <c r="AJV26" s="2"/>
      <c r="AJW26" s="2"/>
      <c r="AJX26" s="2"/>
      <c r="AJY26" s="2"/>
      <c r="AJZ26" s="2"/>
      <c r="AKA26" s="2"/>
      <c r="AKB26" s="2"/>
      <c r="AKC26" s="2"/>
      <c r="AKD26" s="2"/>
      <c r="AKE26" s="2"/>
      <c r="AKF26" s="2"/>
      <c r="AKG26" s="2"/>
      <c r="AKH26" s="2"/>
      <c r="AKI26" s="2"/>
      <c r="AKJ26" s="2"/>
      <c r="AKK26" s="2"/>
      <c r="AKL26" s="2"/>
      <c r="AKM26" s="2"/>
      <c r="AKN26" s="2"/>
      <c r="AKO26" s="2"/>
      <c r="AKP26" s="2"/>
      <c r="AKQ26" s="2"/>
      <c r="AKR26" s="2"/>
      <c r="AKS26" s="2"/>
      <c r="AKT26" s="2"/>
      <c r="AKU26" s="2"/>
      <c r="AKV26" s="2"/>
      <c r="AKW26" s="2"/>
      <c r="AKX26" s="2"/>
      <c r="AKY26" s="2"/>
      <c r="AKZ26" s="2"/>
      <c r="ALA26" s="2"/>
      <c r="ALB26" s="2"/>
      <c r="ALC26" s="2"/>
      <c r="ALD26" s="2"/>
      <c r="ALE26" s="2"/>
      <c r="ALF26" s="2"/>
      <c r="ALG26" s="2"/>
      <c r="ALH26" s="2"/>
      <c r="ALI26" s="2"/>
      <c r="ALJ26" s="2"/>
      <c r="ALK26" s="2"/>
      <c r="ALL26" s="2"/>
    </row>
    <row r="27" spans="1:1000" customFormat="1" ht="15" x14ac:dyDescent="0.25">
      <c r="A27" s="2" t="str">
        <f ca="1">IF(_xll.TM1RPTELISCONSOLIDATED($C$14,$C27),IF(_xll.TM1RPTELLEV($C$14,$C27)&lt;=3,_xll.TM1RPTELLEV($C$14,$C27),"D"),"N")</f>
        <v>N</v>
      </c>
      <c r="B27" s="2"/>
      <c r="C27" s="49" t="s">
        <v>73</v>
      </c>
      <c r="D27" s="8" t="str">
        <f ca="1">_xll.DBRW($C$9,$C27,D$12)</f>
        <v>L40</v>
      </c>
      <c r="E27" s="8" t="str">
        <f ca="1">_xll.DBRW($C$9,$C27,E$12)</f>
        <v>L40</v>
      </c>
      <c r="F27" s="9" t="str">
        <f ca="1">_xll.DBRW($C$9,$C27,F$12)</f>
        <v>Y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  <c r="AAA27" s="2"/>
      <c r="AAB27" s="2"/>
      <c r="AAC27" s="2"/>
      <c r="AAD27" s="2"/>
      <c r="AAE27" s="2"/>
      <c r="AAF27" s="2"/>
      <c r="AAG27" s="2"/>
      <c r="AAH27" s="2"/>
      <c r="AAI27" s="2"/>
      <c r="AAJ27" s="2"/>
      <c r="AAK27" s="2"/>
      <c r="AAL27" s="2"/>
      <c r="AAM27" s="2"/>
      <c r="AAN27" s="2"/>
      <c r="AAO27" s="2"/>
      <c r="AAP27" s="2"/>
      <c r="AAQ27" s="2"/>
      <c r="AAR27" s="2"/>
      <c r="AAS27" s="2"/>
      <c r="AAT27" s="2"/>
      <c r="AAU27" s="2"/>
      <c r="AAV27" s="2"/>
      <c r="AAW27" s="2"/>
      <c r="AAX27" s="2"/>
      <c r="AAY27" s="2"/>
      <c r="AAZ27" s="2"/>
      <c r="ABA27" s="2"/>
      <c r="ABB27" s="2"/>
      <c r="ABC27" s="2"/>
      <c r="ABD27" s="2"/>
      <c r="ABE27" s="2"/>
      <c r="ABF27" s="2"/>
      <c r="ABG27" s="2"/>
      <c r="ABH27" s="2"/>
      <c r="ABI27" s="2"/>
      <c r="ABJ27" s="2"/>
      <c r="ABK27" s="2"/>
      <c r="ABL27" s="2"/>
      <c r="ABM27" s="2"/>
      <c r="ABN27" s="2"/>
      <c r="ABO27" s="2"/>
      <c r="ABP27" s="2"/>
      <c r="ABQ27" s="2"/>
      <c r="ABR27" s="2"/>
      <c r="ABS27" s="2"/>
      <c r="ABT27" s="2"/>
      <c r="ABU27" s="2"/>
      <c r="ABV27" s="2"/>
      <c r="ABW27" s="2"/>
      <c r="ABX27" s="2"/>
      <c r="ABY27" s="2"/>
      <c r="ABZ27" s="2"/>
      <c r="ACA27" s="2"/>
      <c r="ACB27" s="2"/>
      <c r="ACC27" s="2"/>
      <c r="ACD27" s="2"/>
      <c r="ACE27" s="2"/>
      <c r="ACF27" s="2"/>
      <c r="ACG27" s="2"/>
      <c r="ACH27" s="2"/>
      <c r="ACI27" s="2"/>
      <c r="ACJ27" s="2"/>
      <c r="ACK27" s="2"/>
      <c r="ACL27" s="2"/>
      <c r="ACM27" s="2"/>
      <c r="ACN27" s="2"/>
      <c r="ACO27" s="2"/>
      <c r="ACP27" s="2"/>
      <c r="ACQ27" s="2"/>
      <c r="ACR27" s="2"/>
      <c r="ACS27" s="2"/>
      <c r="ACT27" s="2"/>
      <c r="ACU27" s="2"/>
      <c r="ACV27" s="2"/>
      <c r="ACW27" s="2"/>
      <c r="ACX27" s="2"/>
      <c r="ACY27" s="2"/>
      <c r="ACZ27" s="2"/>
      <c r="ADA27" s="2"/>
      <c r="ADB27" s="2"/>
      <c r="ADC27" s="2"/>
      <c r="ADD27" s="2"/>
      <c r="ADE27" s="2"/>
      <c r="ADF27" s="2"/>
      <c r="ADG27" s="2"/>
      <c r="ADH27" s="2"/>
      <c r="ADI27" s="2"/>
      <c r="ADJ27" s="2"/>
      <c r="ADK27" s="2"/>
      <c r="ADL27" s="2"/>
      <c r="ADM27" s="2"/>
      <c r="ADN27" s="2"/>
      <c r="ADO27" s="2"/>
      <c r="ADP27" s="2"/>
      <c r="ADQ27" s="2"/>
      <c r="ADR27" s="2"/>
      <c r="ADS27" s="2"/>
      <c r="ADT27" s="2"/>
      <c r="ADU27" s="2"/>
      <c r="ADV27" s="2"/>
      <c r="ADW27" s="2"/>
      <c r="ADX27" s="2"/>
      <c r="ADY27" s="2"/>
      <c r="ADZ27" s="2"/>
      <c r="AEA27" s="2"/>
      <c r="AEB27" s="2"/>
      <c r="AEC27" s="2"/>
      <c r="AED27" s="2"/>
      <c r="AEE27" s="2"/>
      <c r="AEF27" s="2"/>
      <c r="AEG27" s="2"/>
      <c r="AEH27" s="2"/>
      <c r="AEI27" s="2"/>
      <c r="AEJ27" s="2"/>
      <c r="AEK27" s="2"/>
      <c r="AEL27" s="2"/>
      <c r="AEM27" s="2"/>
      <c r="AEN27" s="2"/>
      <c r="AEO27" s="2"/>
      <c r="AEP27" s="2"/>
      <c r="AEQ27" s="2"/>
      <c r="AER27" s="2"/>
      <c r="AES27" s="2"/>
      <c r="AET27" s="2"/>
      <c r="AEU27" s="2"/>
      <c r="AEV27" s="2"/>
      <c r="AEW27" s="2"/>
      <c r="AEX27" s="2"/>
      <c r="AEY27" s="2"/>
      <c r="AEZ27" s="2"/>
      <c r="AFA27" s="2"/>
      <c r="AFB27" s="2"/>
      <c r="AFC27" s="2"/>
      <c r="AFD27" s="2"/>
      <c r="AFE27" s="2"/>
      <c r="AFF27" s="2"/>
      <c r="AFG27" s="2"/>
      <c r="AFH27" s="2"/>
      <c r="AFI27" s="2"/>
      <c r="AFJ27" s="2"/>
      <c r="AFK27" s="2"/>
      <c r="AFL27" s="2"/>
      <c r="AFM27" s="2"/>
      <c r="AFN27" s="2"/>
      <c r="AFO27" s="2"/>
      <c r="AFP27" s="2"/>
      <c r="AFQ27" s="2"/>
      <c r="AFR27" s="2"/>
      <c r="AFS27" s="2"/>
      <c r="AFT27" s="2"/>
      <c r="AFU27" s="2"/>
      <c r="AFV27" s="2"/>
      <c r="AFW27" s="2"/>
      <c r="AFX27" s="2"/>
      <c r="AFY27" s="2"/>
      <c r="AFZ27" s="2"/>
      <c r="AGA27" s="2"/>
      <c r="AGB27" s="2"/>
      <c r="AGC27" s="2"/>
      <c r="AGD27" s="2"/>
      <c r="AGE27" s="2"/>
      <c r="AGF27" s="2"/>
      <c r="AGG27" s="2"/>
      <c r="AGH27" s="2"/>
      <c r="AGI27" s="2"/>
      <c r="AGJ27" s="2"/>
      <c r="AGK27" s="2"/>
      <c r="AGL27" s="2"/>
      <c r="AGM27" s="2"/>
      <c r="AGN27" s="2"/>
      <c r="AGO27" s="2"/>
      <c r="AGP27" s="2"/>
      <c r="AGQ27" s="2"/>
      <c r="AGR27" s="2"/>
      <c r="AGS27" s="2"/>
      <c r="AGT27" s="2"/>
      <c r="AGU27" s="2"/>
      <c r="AGV27" s="2"/>
      <c r="AGW27" s="2"/>
      <c r="AGX27" s="2"/>
      <c r="AGY27" s="2"/>
      <c r="AGZ27" s="2"/>
      <c r="AHA27" s="2"/>
      <c r="AHB27" s="2"/>
      <c r="AHC27" s="2"/>
      <c r="AHD27" s="2"/>
      <c r="AHE27" s="2"/>
      <c r="AHF27" s="2"/>
      <c r="AHG27" s="2"/>
      <c r="AHH27" s="2"/>
      <c r="AHI27" s="2"/>
      <c r="AHJ27" s="2"/>
      <c r="AHK27" s="2"/>
      <c r="AHL27" s="2"/>
      <c r="AHM27" s="2"/>
      <c r="AHN27" s="2"/>
      <c r="AHO27" s="2"/>
      <c r="AHP27" s="2"/>
      <c r="AHQ27" s="2"/>
      <c r="AHR27" s="2"/>
      <c r="AHS27" s="2"/>
      <c r="AHT27" s="2"/>
      <c r="AHU27" s="2"/>
      <c r="AHV27" s="2"/>
      <c r="AHW27" s="2"/>
      <c r="AHX27" s="2"/>
      <c r="AHY27" s="2"/>
      <c r="AHZ27" s="2"/>
      <c r="AIA27" s="2"/>
      <c r="AIB27" s="2"/>
      <c r="AIC27" s="2"/>
      <c r="AID27" s="2"/>
      <c r="AIE27" s="2"/>
      <c r="AIF27" s="2"/>
      <c r="AIG27" s="2"/>
      <c r="AIH27" s="2"/>
      <c r="AII27" s="2"/>
      <c r="AIJ27" s="2"/>
      <c r="AIK27" s="2"/>
      <c r="AIL27" s="2"/>
      <c r="AIM27" s="2"/>
      <c r="AIN27" s="2"/>
      <c r="AIO27" s="2"/>
      <c r="AIP27" s="2"/>
      <c r="AIQ27" s="2"/>
      <c r="AIR27" s="2"/>
      <c r="AIS27" s="2"/>
      <c r="AIT27" s="2"/>
      <c r="AIU27" s="2"/>
      <c r="AIV27" s="2"/>
      <c r="AIW27" s="2"/>
      <c r="AIX27" s="2"/>
      <c r="AIY27" s="2"/>
      <c r="AIZ27" s="2"/>
      <c r="AJA27" s="2"/>
      <c r="AJB27" s="2"/>
      <c r="AJC27" s="2"/>
      <c r="AJD27" s="2"/>
      <c r="AJE27" s="2"/>
      <c r="AJF27" s="2"/>
      <c r="AJG27" s="2"/>
      <c r="AJH27" s="2"/>
      <c r="AJI27" s="2"/>
      <c r="AJJ27" s="2"/>
      <c r="AJK27" s="2"/>
      <c r="AJL27" s="2"/>
      <c r="AJM27" s="2"/>
      <c r="AJN27" s="2"/>
      <c r="AJO27" s="2"/>
      <c r="AJP27" s="2"/>
      <c r="AJQ27" s="2"/>
      <c r="AJR27" s="2"/>
      <c r="AJS27" s="2"/>
      <c r="AJT27" s="2"/>
      <c r="AJU27" s="2"/>
      <c r="AJV27" s="2"/>
      <c r="AJW27" s="2"/>
      <c r="AJX27" s="2"/>
      <c r="AJY27" s="2"/>
      <c r="AJZ27" s="2"/>
      <c r="AKA27" s="2"/>
      <c r="AKB27" s="2"/>
      <c r="AKC27" s="2"/>
      <c r="AKD27" s="2"/>
      <c r="AKE27" s="2"/>
      <c r="AKF27" s="2"/>
      <c r="AKG27" s="2"/>
      <c r="AKH27" s="2"/>
      <c r="AKI27" s="2"/>
      <c r="AKJ27" s="2"/>
      <c r="AKK27" s="2"/>
      <c r="AKL27" s="2"/>
      <c r="AKM27" s="2"/>
      <c r="AKN27" s="2"/>
      <c r="AKO27" s="2"/>
      <c r="AKP27" s="2"/>
      <c r="AKQ27" s="2"/>
      <c r="AKR27" s="2"/>
      <c r="AKS27" s="2"/>
      <c r="AKT27" s="2"/>
      <c r="AKU27" s="2"/>
      <c r="AKV27" s="2"/>
      <c r="AKW27" s="2"/>
      <c r="AKX27" s="2"/>
      <c r="AKY27" s="2"/>
      <c r="AKZ27" s="2"/>
      <c r="ALA27" s="2"/>
      <c r="ALB27" s="2"/>
      <c r="ALC27" s="2"/>
      <c r="ALD27" s="2"/>
      <c r="ALE27" s="2"/>
      <c r="ALF27" s="2"/>
      <c r="ALG27" s="2"/>
      <c r="ALH27" s="2"/>
      <c r="ALI27" s="2"/>
      <c r="ALJ27" s="2"/>
      <c r="ALK27" s="2"/>
      <c r="ALL27" s="2"/>
    </row>
    <row r="28" spans="1:1000" customFormat="1" ht="15" x14ac:dyDescent="0.25">
      <c r="A28" s="2">
        <f ca="1">IF(_xll.TM1RPTELISCONSOLIDATED($C$14,$C28),IF(_xll.TM1RPTELLEV($C$14,$C28)&lt;=3,_xll.TM1RPTELLEV($C$14,$C28),"D"),"N")</f>
        <v>1</v>
      </c>
      <c r="B28" s="2"/>
      <c r="C28" s="64" t="s">
        <v>129</v>
      </c>
      <c r="D28" s="58" t="str">
        <f ca="1">_xll.DBRW($C$9,$C28,D$12)</f>
        <v>PCs</v>
      </c>
      <c r="E28" s="58" t="str">
        <f ca="1">_xll.DBRW($C$9,$C28,E$12)</f>
        <v>PCs</v>
      </c>
      <c r="F28" s="57" t="str">
        <f ca="1">_xll.DBRW($C$9,$C28,F$12)</f>
        <v>Y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  <c r="AAA28" s="2"/>
      <c r="AAB28" s="2"/>
      <c r="AAC28" s="2"/>
      <c r="AAD28" s="2"/>
      <c r="AAE28" s="2"/>
      <c r="AAF28" s="2"/>
      <c r="AAG28" s="2"/>
      <c r="AAH28" s="2"/>
      <c r="AAI28" s="2"/>
      <c r="AAJ28" s="2"/>
      <c r="AAK28" s="2"/>
      <c r="AAL28" s="2"/>
      <c r="AAM28" s="2"/>
      <c r="AAN28" s="2"/>
      <c r="AAO28" s="2"/>
      <c r="AAP28" s="2"/>
      <c r="AAQ28" s="2"/>
      <c r="AAR28" s="2"/>
      <c r="AAS28" s="2"/>
      <c r="AAT28" s="2"/>
      <c r="AAU28" s="2"/>
      <c r="AAV28" s="2"/>
      <c r="AAW28" s="2"/>
      <c r="AAX28" s="2"/>
      <c r="AAY28" s="2"/>
      <c r="AAZ28" s="2"/>
      <c r="ABA28" s="2"/>
      <c r="ABB28" s="2"/>
      <c r="ABC28" s="2"/>
      <c r="ABD28" s="2"/>
      <c r="ABE28" s="2"/>
      <c r="ABF28" s="2"/>
      <c r="ABG28" s="2"/>
      <c r="ABH28" s="2"/>
      <c r="ABI28" s="2"/>
      <c r="ABJ28" s="2"/>
      <c r="ABK28" s="2"/>
      <c r="ABL28" s="2"/>
      <c r="ABM28" s="2"/>
      <c r="ABN28" s="2"/>
      <c r="ABO28" s="2"/>
      <c r="ABP28" s="2"/>
      <c r="ABQ28" s="2"/>
      <c r="ABR28" s="2"/>
      <c r="ABS28" s="2"/>
      <c r="ABT28" s="2"/>
      <c r="ABU28" s="2"/>
      <c r="ABV28" s="2"/>
      <c r="ABW28" s="2"/>
      <c r="ABX28" s="2"/>
      <c r="ABY28" s="2"/>
      <c r="ABZ28" s="2"/>
      <c r="ACA28" s="2"/>
      <c r="ACB28" s="2"/>
      <c r="ACC28" s="2"/>
      <c r="ACD28" s="2"/>
      <c r="ACE28" s="2"/>
      <c r="ACF28" s="2"/>
      <c r="ACG28" s="2"/>
      <c r="ACH28" s="2"/>
      <c r="ACI28" s="2"/>
      <c r="ACJ28" s="2"/>
      <c r="ACK28" s="2"/>
      <c r="ACL28" s="2"/>
      <c r="ACM28" s="2"/>
      <c r="ACN28" s="2"/>
      <c r="ACO28" s="2"/>
      <c r="ACP28" s="2"/>
      <c r="ACQ28" s="2"/>
      <c r="ACR28" s="2"/>
      <c r="ACS28" s="2"/>
      <c r="ACT28" s="2"/>
      <c r="ACU28" s="2"/>
      <c r="ACV28" s="2"/>
      <c r="ACW28" s="2"/>
      <c r="ACX28" s="2"/>
      <c r="ACY28" s="2"/>
      <c r="ACZ28" s="2"/>
      <c r="ADA28" s="2"/>
      <c r="ADB28" s="2"/>
      <c r="ADC28" s="2"/>
      <c r="ADD28" s="2"/>
      <c r="ADE28" s="2"/>
      <c r="ADF28" s="2"/>
      <c r="ADG28" s="2"/>
      <c r="ADH28" s="2"/>
      <c r="ADI28" s="2"/>
      <c r="ADJ28" s="2"/>
      <c r="ADK28" s="2"/>
      <c r="ADL28" s="2"/>
      <c r="ADM28" s="2"/>
      <c r="ADN28" s="2"/>
      <c r="ADO28" s="2"/>
      <c r="ADP28" s="2"/>
      <c r="ADQ28" s="2"/>
      <c r="ADR28" s="2"/>
      <c r="ADS28" s="2"/>
      <c r="ADT28" s="2"/>
      <c r="ADU28" s="2"/>
      <c r="ADV28" s="2"/>
      <c r="ADW28" s="2"/>
      <c r="ADX28" s="2"/>
      <c r="ADY28" s="2"/>
      <c r="ADZ28" s="2"/>
      <c r="AEA28" s="2"/>
      <c r="AEB28" s="2"/>
      <c r="AEC28" s="2"/>
      <c r="AED28" s="2"/>
      <c r="AEE28" s="2"/>
      <c r="AEF28" s="2"/>
      <c r="AEG28" s="2"/>
      <c r="AEH28" s="2"/>
      <c r="AEI28" s="2"/>
      <c r="AEJ28" s="2"/>
      <c r="AEK28" s="2"/>
      <c r="AEL28" s="2"/>
      <c r="AEM28" s="2"/>
      <c r="AEN28" s="2"/>
      <c r="AEO28" s="2"/>
      <c r="AEP28" s="2"/>
      <c r="AEQ28" s="2"/>
      <c r="AER28" s="2"/>
      <c r="AES28" s="2"/>
      <c r="AET28" s="2"/>
      <c r="AEU28" s="2"/>
      <c r="AEV28" s="2"/>
      <c r="AEW28" s="2"/>
      <c r="AEX28" s="2"/>
      <c r="AEY28" s="2"/>
      <c r="AEZ28" s="2"/>
      <c r="AFA28" s="2"/>
      <c r="AFB28" s="2"/>
      <c r="AFC28" s="2"/>
      <c r="AFD28" s="2"/>
      <c r="AFE28" s="2"/>
      <c r="AFF28" s="2"/>
      <c r="AFG28" s="2"/>
      <c r="AFH28" s="2"/>
      <c r="AFI28" s="2"/>
      <c r="AFJ28" s="2"/>
      <c r="AFK28" s="2"/>
      <c r="AFL28" s="2"/>
      <c r="AFM28" s="2"/>
      <c r="AFN28" s="2"/>
      <c r="AFO28" s="2"/>
      <c r="AFP28" s="2"/>
      <c r="AFQ28" s="2"/>
      <c r="AFR28" s="2"/>
      <c r="AFS28" s="2"/>
      <c r="AFT28" s="2"/>
      <c r="AFU28" s="2"/>
      <c r="AFV28" s="2"/>
      <c r="AFW28" s="2"/>
      <c r="AFX28" s="2"/>
      <c r="AFY28" s="2"/>
      <c r="AFZ28" s="2"/>
      <c r="AGA28" s="2"/>
      <c r="AGB28" s="2"/>
      <c r="AGC28" s="2"/>
      <c r="AGD28" s="2"/>
      <c r="AGE28" s="2"/>
      <c r="AGF28" s="2"/>
      <c r="AGG28" s="2"/>
      <c r="AGH28" s="2"/>
      <c r="AGI28" s="2"/>
      <c r="AGJ28" s="2"/>
      <c r="AGK28" s="2"/>
      <c r="AGL28" s="2"/>
      <c r="AGM28" s="2"/>
      <c r="AGN28" s="2"/>
      <c r="AGO28" s="2"/>
      <c r="AGP28" s="2"/>
      <c r="AGQ28" s="2"/>
      <c r="AGR28" s="2"/>
      <c r="AGS28" s="2"/>
      <c r="AGT28" s="2"/>
      <c r="AGU28" s="2"/>
      <c r="AGV28" s="2"/>
      <c r="AGW28" s="2"/>
      <c r="AGX28" s="2"/>
      <c r="AGY28" s="2"/>
      <c r="AGZ28" s="2"/>
      <c r="AHA28" s="2"/>
      <c r="AHB28" s="2"/>
      <c r="AHC28" s="2"/>
      <c r="AHD28" s="2"/>
      <c r="AHE28" s="2"/>
      <c r="AHF28" s="2"/>
      <c r="AHG28" s="2"/>
      <c r="AHH28" s="2"/>
      <c r="AHI28" s="2"/>
      <c r="AHJ28" s="2"/>
      <c r="AHK28" s="2"/>
      <c r="AHL28" s="2"/>
      <c r="AHM28" s="2"/>
      <c r="AHN28" s="2"/>
      <c r="AHO28" s="2"/>
      <c r="AHP28" s="2"/>
      <c r="AHQ28" s="2"/>
      <c r="AHR28" s="2"/>
      <c r="AHS28" s="2"/>
      <c r="AHT28" s="2"/>
      <c r="AHU28" s="2"/>
      <c r="AHV28" s="2"/>
      <c r="AHW28" s="2"/>
      <c r="AHX28" s="2"/>
      <c r="AHY28" s="2"/>
      <c r="AHZ28" s="2"/>
      <c r="AIA28" s="2"/>
      <c r="AIB28" s="2"/>
      <c r="AIC28" s="2"/>
      <c r="AID28" s="2"/>
      <c r="AIE28" s="2"/>
      <c r="AIF28" s="2"/>
      <c r="AIG28" s="2"/>
      <c r="AIH28" s="2"/>
      <c r="AII28" s="2"/>
      <c r="AIJ28" s="2"/>
      <c r="AIK28" s="2"/>
      <c r="AIL28" s="2"/>
      <c r="AIM28" s="2"/>
      <c r="AIN28" s="2"/>
      <c r="AIO28" s="2"/>
      <c r="AIP28" s="2"/>
      <c r="AIQ28" s="2"/>
      <c r="AIR28" s="2"/>
      <c r="AIS28" s="2"/>
      <c r="AIT28" s="2"/>
      <c r="AIU28" s="2"/>
      <c r="AIV28" s="2"/>
      <c r="AIW28" s="2"/>
      <c r="AIX28" s="2"/>
      <c r="AIY28" s="2"/>
      <c r="AIZ28" s="2"/>
      <c r="AJA28" s="2"/>
      <c r="AJB28" s="2"/>
      <c r="AJC28" s="2"/>
      <c r="AJD28" s="2"/>
      <c r="AJE28" s="2"/>
      <c r="AJF28" s="2"/>
      <c r="AJG28" s="2"/>
      <c r="AJH28" s="2"/>
      <c r="AJI28" s="2"/>
      <c r="AJJ28" s="2"/>
      <c r="AJK28" s="2"/>
      <c r="AJL28" s="2"/>
      <c r="AJM28" s="2"/>
      <c r="AJN28" s="2"/>
      <c r="AJO28" s="2"/>
      <c r="AJP28" s="2"/>
      <c r="AJQ28" s="2"/>
      <c r="AJR28" s="2"/>
      <c r="AJS28" s="2"/>
      <c r="AJT28" s="2"/>
      <c r="AJU28" s="2"/>
      <c r="AJV28" s="2"/>
      <c r="AJW28" s="2"/>
      <c r="AJX28" s="2"/>
      <c r="AJY28" s="2"/>
      <c r="AJZ28" s="2"/>
      <c r="AKA28" s="2"/>
      <c r="AKB28" s="2"/>
      <c r="AKC28" s="2"/>
      <c r="AKD28" s="2"/>
      <c r="AKE28" s="2"/>
      <c r="AKF28" s="2"/>
      <c r="AKG28" s="2"/>
      <c r="AKH28" s="2"/>
      <c r="AKI28" s="2"/>
      <c r="AKJ28" s="2"/>
      <c r="AKK28" s="2"/>
      <c r="AKL28" s="2"/>
      <c r="AKM28" s="2"/>
      <c r="AKN28" s="2"/>
      <c r="AKO28" s="2"/>
      <c r="AKP28" s="2"/>
      <c r="AKQ28" s="2"/>
      <c r="AKR28" s="2"/>
      <c r="AKS28" s="2"/>
      <c r="AKT28" s="2"/>
      <c r="AKU28" s="2"/>
      <c r="AKV28" s="2"/>
      <c r="AKW28" s="2"/>
      <c r="AKX28" s="2"/>
      <c r="AKY28" s="2"/>
      <c r="AKZ28" s="2"/>
      <c r="ALA28" s="2"/>
      <c r="ALB28" s="2"/>
      <c r="ALC28" s="2"/>
      <c r="ALD28" s="2"/>
      <c r="ALE28" s="2"/>
      <c r="ALF28" s="2"/>
      <c r="ALG28" s="2"/>
      <c r="ALH28" s="2"/>
      <c r="ALI28" s="2"/>
      <c r="ALJ28" s="2"/>
      <c r="ALK28" s="2"/>
      <c r="ALL28" s="2"/>
    </row>
    <row r="29" spans="1:1000" customFormat="1" ht="15" x14ac:dyDescent="0.25">
      <c r="A29" s="2">
        <f ca="1">IF(_xll.TM1RPTELISCONSOLIDATED($C$14,$C29),IF(_xll.TM1RPTELLEV($C$14,$C29)&lt;=3,_xll.TM1RPTELLEV($C$14,$C29),"D"),"N")</f>
        <v>2</v>
      </c>
      <c r="B29" s="2"/>
      <c r="C29" s="48" t="s">
        <v>130</v>
      </c>
      <c r="D29" s="28" t="str">
        <f ca="1">_xll.DBRW($C$9,$C29,D$12)</f>
        <v>Desktops</v>
      </c>
      <c r="E29" s="28" t="str">
        <f ca="1">_xll.DBRW($C$9,$C29,E$12)</f>
        <v>Desktops</v>
      </c>
      <c r="F29" s="55" t="str">
        <f ca="1">_xll.DBRW($C$9,$C29,F$12)</f>
        <v>Y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  <c r="AAA29" s="2"/>
      <c r="AAB29" s="2"/>
      <c r="AAC29" s="2"/>
      <c r="AAD29" s="2"/>
      <c r="AAE29" s="2"/>
      <c r="AAF29" s="2"/>
      <c r="AAG29" s="2"/>
      <c r="AAH29" s="2"/>
      <c r="AAI29" s="2"/>
      <c r="AAJ29" s="2"/>
      <c r="AAK29" s="2"/>
      <c r="AAL29" s="2"/>
      <c r="AAM29" s="2"/>
      <c r="AAN29" s="2"/>
      <c r="AAO29" s="2"/>
      <c r="AAP29" s="2"/>
      <c r="AAQ29" s="2"/>
      <c r="AAR29" s="2"/>
      <c r="AAS29" s="2"/>
      <c r="AAT29" s="2"/>
      <c r="AAU29" s="2"/>
      <c r="AAV29" s="2"/>
      <c r="AAW29" s="2"/>
      <c r="AAX29" s="2"/>
      <c r="AAY29" s="2"/>
      <c r="AAZ29" s="2"/>
      <c r="ABA29" s="2"/>
      <c r="ABB29" s="2"/>
      <c r="ABC29" s="2"/>
      <c r="ABD29" s="2"/>
      <c r="ABE29" s="2"/>
      <c r="ABF29" s="2"/>
      <c r="ABG29" s="2"/>
      <c r="ABH29" s="2"/>
      <c r="ABI29" s="2"/>
      <c r="ABJ29" s="2"/>
      <c r="ABK29" s="2"/>
      <c r="ABL29" s="2"/>
      <c r="ABM29" s="2"/>
      <c r="ABN29" s="2"/>
      <c r="ABO29" s="2"/>
      <c r="ABP29" s="2"/>
      <c r="ABQ29" s="2"/>
      <c r="ABR29" s="2"/>
      <c r="ABS29" s="2"/>
      <c r="ABT29" s="2"/>
      <c r="ABU29" s="2"/>
      <c r="ABV29" s="2"/>
      <c r="ABW29" s="2"/>
      <c r="ABX29" s="2"/>
      <c r="ABY29" s="2"/>
      <c r="ABZ29" s="2"/>
      <c r="ACA29" s="2"/>
      <c r="ACB29" s="2"/>
      <c r="ACC29" s="2"/>
      <c r="ACD29" s="2"/>
      <c r="ACE29" s="2"/>
      <c r="ACF29" s="2"/>
      <c r="ACG29" s="2"/>
      <c r="ACH29" s="2"/>
      <c r="ACI29" s="2"/>
      <c r="ACJ29" s="2"/>
      <c r="ACK29" s="2"/>
      <c r="ACL29" s="2"/>
      <c r="ACM29" s="2"/>
      <c r="ACN29" s="2"/>
      <c r="ACO29" s="2"/>
      <c r="ACP29" s="2"/>
      <c r="ACQ29" s="2"/>
      <c r="ACR29" s="2"/>
      <c r="ACS29" s="2"/>
      <c r="ACT29" s="2"/>
      <c r="ACU29" s="2"/>
      <c r="ACV29" s="2"/>
      <c r="ACW29" s="2"/>
      <c r="ACX29" s="2"/>
      <c r="ACY29" s="2"/>
      <c r="ACZ29" s="2"/>
      <c r="ADA29" s="2"/>
      <c r="ADB29" s="2"/>
      <c r="ADC29" s="2"/>
      <c r="ADD29" s="2"/>
      <c r="ADE29" s="2"/>
      <c r="ADF29" s="2"/>
      <c r="ADG29" s="2"/>
      <c r="ADH29" s="2"/>
      <c r="ADI29" s="2"/>
      <c r="ADJ29" s="2"/>
      <c r="ADK29" s="2"/>
      <c r="ADL29" s="2"/>
      <c r="ADM29" s="2"/>
      <c r="ADN29" s="2"/>
      <c r="ADO29" s="2"/>
      <c r="ADP29" s="2"/>
      <c r="ADQ29" s="2"/>
      <c r="ADR29" s="2"/>
      <c r="ADS29" s="2"/>
      <c r="ADT29" s="2"/>
      <c r="ADU29" s="2"/>
      <c r="ADV29" s="2"/>
      <c r="ADW29" s="2"/>
      <c r="ADX29" s="2"/>
      <c r="ADY29" s="2"/>
      <c r="ADZ29" s="2"/>
      <c r="AEA29" s="2"/>
      <c r="AEB29" s="2"/>
      <c r="AEC29" s="2"/>
      <c r="AED29" s="2"/>
      <c r="AEE29" s="2"/>
      <c r="AEF29" s="2"/>
      <c r="AEG29" s="2"/>
      <c r="AEH29" s="2"/>
      <c r="AEI29" s="2"/>
      <c r="AEJ29" s="2"/>
      <c r="AEK29" s="2"/>
      <c r="AEL29" s="2"/>
      <c r="AEM29" s="2"/>
      <c r="AEN29" s="2"/>
      <c r="AEO29" s="2"/>
      <c r="AEP29" s="2"/>
      <c r="AEQ29" s="2"/>
      <c r="AER29" s="2"/>
      <c r="AES29" s="2"/>
      <c r="AET29" s="2"/>
      <c r="AEU29" s="2"/>
      <c r="AEV29" s="2"/>
      <c r="AEW29" s="2"/>
      <c r="AEX29" s="2"/>
      <c r="AEY29" s="2"/>
      <c r="AEZ29" s="2"/>
      <c r="AFA29" s="2"/>
      <c r="AFB29" s="2"/>
      <c r="AFC29" s="2"/>
      <c r="AFD29" s="2"/>
      <c r="AFE29" s="2"/>
      <c r="AFF29" s="2"/>
      <c r="AFG29" s="2"/>
      <c r="AFH29" s="2"/>
      <c r="AFI29" s="2"/>
      <c r="AFJ29" s="2"/>
      <c r="AFK29" s="2"/>
      <c r="AFL29" s="2"/>
      <c r="AFM29" s="2"/>
      <c r="AFN29" s="2"/>
      <c r="AFO29" s="2"/>
      <c r="AFP29" s="2"/>
      <c r="AFQ29" s="2"/>
      <c r="AFR29" s="2"/>
      <c r="AFS29" s="2"/>
      <c r="AFT29" s="2"/>
      <c r="AFU29" s="2"/>
      <c r="AFV29" s="2"/>
      <c r="AFW29" s="2"/>
      <c r="AFX29" s="2"/>
      <c r="AFY29" s="2"/>
      <c r="AFZ29" s="2"/>
      <c r="AGA29" s="2"/>
      <c r="AGB29" s="2"/>
      <c r="AGC29" s="2"/>
      <c r="AGD29" s="2"/>
      <c r="AGE29" s="2"/>
      <c r="AGF29" s="2"/>
      <c r="AGG29" s="2"/>
      <c r="AGH29" s="2"/>
      <c r="AGI29" s="2"/>
      <c r="AGJ29" s="2"/>
      <c r="AGK29" s="2"/>
      <c r="AGL29" s="2"/>
      <c r="AGM29" s="2"/>
      <c r="AGN29" s="2"/>
      <c r="AGO29" s="2"/>
      <c r="AGP29" s="2"/>
      <c r="AGQ29" s="2"/>
      <c r="AGR29" s="2"/>
      <c r="AGS29" s="2"/>
      <c r="AGT29" s="2"/>
      <c r="AGU29" s="2"/>
      <c r="AGV29" s="2"/>
      <c r="AGW29" s="2"/>
      <c r="AGX29" s="2"/>
      <c r="AGY29" s="2"/>
      <c r="AGZ29" s="2"/>
      <c r="AHA29" s="2"/>
      <c r="AHB29" s="2"/>
      <c r="AHC29" s="2"/>
      <c r="AHD29" s="2"/>
      <c r="AHE29" s="2"/>
      <c r="AHF29" s="2"/>
      <c r="AHG29" s="2"/>
      <c r="AHH29" s="2"/>
      <c r="AHI29" s="2"/>
      <c r="AHJ29" s="2"/>
      <c r="AHK29" s="2"/>
      <c r="AHL29" s="2"/>
      <c r="AHM29" s="2"/>
      <c r="AHN29" s="2"/>
      <c r="AHO29" s="2"/>
      <c r="AHP29" s="2"/>
      <c r="AHQ29" s="2"/>
      <c r="AHR29" s="2"/>
      <c r="AHS29" s="2"/>
      <c r="AHT29" s="2"/>
      <c r="AHU29" s="2"/>
      <c r="AHV29" s="2"/>
      <c r="AHW29" s="2"/>
      <c r="AHX29" s="2"/>
      <c r="AHY29" s="2"/>
      <c r="AHZ29" s="2"/>
      <c r="AIA29" s="2"/>
      <c r="AIB29" s="2"/>
      <c r="AIC29" s="2"/>
      <c r="AID29" s="2"/>
      <c r="AIE29" s="2"/>
      <c r="AIF29" s="2"/>
      <c r="AIG29" s="2"/>
      <c r="AIH29" s="2"/>
      <c r="AII29" s="2"/>
      <c r="AIJ29" s="2"/>
      <c r="AIK29" s="2"/>
      <c r="AIL29" s="2"/>
      <c r="AIM29" s="2"/>
      <c r="AIN29" s="2"/>
      <c r="AIO29" s="2"/>
      <c r="AIP29" s="2"/>
      <c r="AIQ29" s="2"/>
      <c r="AIR29" s="2"/>
      <c r="AIS29" s="2"/>
      <c r="AIT29" s="2"/>
      <c r="AIU29" s="2"/>
      <c r="AIV29" s="2"/>
      <c r="AIW29" s="2"/>
      <c r="AIX29" s="2"/>
      <c r="AIY29" s="2"/>
      <c r="AIZ29" s="2"/>
      <c r="AJA29" s="2"/>
      <c r="AJB29" s="2"/>
      <c r="AJC29" s="2"/>
      <c r="AJD29" s="2"/>
      <c r="AJE29" s="2"/>
      <c r="AJF29" s="2"/>
      <c r="AJG29" s="2"/>
      <c r="AJH29" s="2"/>
      <c r="AJI29" s="2"/>
      <c r="AJJ29" s="2"/>
      <c r="AJK29" s="2"/>
      <c r="AJL29" s="2"/>
      <c r="AJM29" s="2"/>
      <c r="AJN29" s="2"/>
      <c r="AJO29" s="2"/>
      <c r="AJP29" s="2"/>
      <c r="AJQ29" s="2"/>
      <c r="AJR29" s="2"/>
      <c r="AJS29" s="2"/>
      <c r="AJT29" s="2"/>
      <c r="AJU29" s="2"/>
      <c r="AJV29" s="2"/>
      <c r="AJW29" s="2"/>
      <c r="AJX29" s="2"/>
      <c r="AJY29" s="2"/>
      <c r="AJZ29" s="2"/>
      <c r="AKA29" s="2"/>
      <c r="AKB29" s="2"/>
      <c r="AKC29" s="2"/>
      <c r="AKD29" s="2"/>
      <c r="AKE29" s="2"/>
      <c r="AKF29" s="2"/>
      <c r="AKG29" s="2"/>
      <c r="AKH29" s="2"/>
      <c r="AKI29" s="2"/>
      <c r="AKJ29" s="2"/>
      <c r="AKK29" s="2"/>
      <c r="AKL29" s="2"/>
      <c r="AKM29" s="2"/>
      <c r="AKN29" s="2"/>
      <c r="AKO29" s="2"/>
      <c r="AKP29" s="2"/>
      <c r="AKQ29" s="2"/>
      <c r="AKR29" s="2"/>
      <c r="AKS29" s="2"/>
      <c r="AKT29" s="2"/>
      <c r="AKU29" s="2"/>
      <c r="AKV29" s="2"/>
      <c r="AKW29" s="2"/>
      <c r="AKX29" s="2"/>
      <c r="AKY29" s="2"/>
      <c r="AKZ29" s="2"/>
      <c r="ALA29" s="2"/>
      <c r="ALB29" s="2"/>
      <c r="ALC29" s="2"/>
      <c r="ALD29" s="2"/>
      <c r="ALE29" s="2"/>
      <c r="ALF29" s="2"/>
      <c r="ALG29" s="2"/>
      <c r="ALH29" s="2"/>
      <c r="ALI29" s="2"/>
      <c r="ALJ29" s="2"/>
      <c r="ALK29" s="2"/>
      <c r="ALL29" s="2"/>
    </row>
    <row r="30" spans="1:1000" customFormat="1" ht="15" x14ac:dyDescent="0.25">
      <c r="A30" s="2" t="str">
        <f ca="1">IF(_xll.TM1RPTELISCONSOLIDATED($C$14,$C30),IF(_xll.TM1RPTELLEV($C$14,$C30)&lt;=3,_xll.TM1RPTELLEV($C$14,$C30),"D"),"N")</f>
        <v>N</v>
      </c>
      <c r="B30" s="2"/>
      <c r="C30" s="49" t="s">
        <v>131</v>
      </c>
      <c r="D30" s="8" t="str">
        <f ca="1">_xll.DBRW($C$9,$C30,D$12)</f>
        <v>SP 2101</v>
      </c>
      <c r="E30" s="8" t="str">
        <f ca="1">_xll.DBRW($C$9,$C30,E$12)</f>
        <v>SP 2101</v>
      </c>
      <c r="F30" s="9" t="str">
        <f ca="1">_xll.DBRW($C$9,$C30,F$12)</f>
        <v>Y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  <c r="AAA30" s="2"/>
      <c r="AAB30" s="2"/>
      <c r="AAC30" s="2"/>
      <c r="AAD30" s="2"/>
      <c r="AAE30" s="2"/>
      <c r="AAF30" s="2"/>
      <c r="AAG30" s="2"/>
      <c r="AAH30" s="2"/>
      <c r="AAI30" s="2"/>
      <c r="AAJ30" s="2"/>
      <c r="AAK30" s="2"/>
      <c r="AAL30" s="2"/>
      <c r="AAM30" s="2"/>
      <c r="AAN30" s="2"/>
      <c r="AAO30" s="2"/>
      <c r="AAP30" s="2"/>
      <c r="AAQ30" s="2"/>
      <c r="AAR30" s="2"/>
      <c r="AAS30" s="2"/>
      <c r="AAT30" s="2"/>
      <c r="AAU30" s="2"/>
      <c r="AAV30" s="2"/>
      <c r="AAW30" s="2"/>
      <c r="AAX30" s="2"/>
      <c r="AAY30" s="2"/>
      <c r="AAZ30" s="2"/>
      <c r="ABA30" s="2"/>
      <c r="ABB30" s="2"/>
      <c r="ABC30" s="2"/>
      <c r="ABD30" s="2"/>
      <c r="ABE30" s="2"/>
      <c r="ABF30" s="2"/>
      <c r="ABG30" s="2"/>
      <c r="ABH30" s="2"/>
      <c r="ABI30" s="2"/>
      <c r="ABJ30" s="2"/>
      <c r="ABK30" s="2"/>
      <c r="ABL30" s="2"/>
      <c r="ABM30" s="2"/>
      <c r="ABN30" s="2"/>
      <c r="ABO30" s="2"/>
      <c r="ABP30" s="2"/>
      <c r="ABQ30" s="2"/>
      <c r="ABR30" s="2"/>
      <c r="ABS30" s="2"/>
      <c r="ABT30" s="2"/>
      <c r="ABU30" s="2"/>
      <c r="ABV30" s="2"/>
      <c r="ABW30" s="2"/>
      <c r="ABX30" s="2"/>
      <c r="ABY30" s="2"/>
      <c r="ABZ30" s="2"/>
      <c r="ACA30" s="2"/>
      <c r="ACB30" s="2"/>
      <c r="ACC30" s="2"/>
      <c r="ACD30" s="2"/>
      <c r="ACE30" s="2"/>
      <c r="ACF30" s="2"/>
      <c r="ACG30" s="2"/>
      <c r="ACH30" s="2"/>
      <c r="ACI30" s="2"/>
      <c r="ACJ30" s="2"/>
      <c r="ACK30" s="2"/>
      <c r="ACL30" s="2"/>
      <c r="ACM30" s="2"/>
      <c r="ACN30" s="2"/>
      <c r="ACO30" s="2"/>
      <c r="ACP30" s="2"/>
      <c r="ACQ30" s="2"/>
      <c r="ACR30" s="2"/>
      <c r="ACS30" s="2"/>
      <c r="ACT30" s="2"/>
      <c r="ACU30" s="2"/>
      <c r="ACV30" s="2"/>
      <c r="ACW30" s="2"/>
      <c r="ACX30" s="2"/>
      <c r="ACY30" s="2"/>
      <c r="ACZ30" s="2"/>
      <c r="ADA30" s="2"/>
      <c r="ADB30" s="2"/>
      <c r="ADC30" s="2"/>
      <c r="ADD30" s="2"/>
      <c r="ADE30" s="2"/>
      <c r="ADF30" s="2"/>
      <c r="ADG30" s="2"/>
      <c r="ADH30" s="2"/>
      <c r="ADI30" s="2"/>
      <c r="ADJ30" s="2"/>
      <c r="ADK30" s="2"/>
      <c r="ADL30" s="2"/>
      <c r="ADM30" s="2"/>
      <c r="ADN30" s="2"/>
      <c r="ADO30" s="2"/>
      <c r="ADP30" s="2"/>
      <c r="ADQ30" s="2"/>
      <c r="ADR30" s="2"/>
      <c r="ADS30" s="2"/>
      <c r="ADT30" s="2"/>
      <c r="ADU30" s="2"/>
      <c r="ADV30" s="2"/>
      <c r="ADW30" s="2"/>
      <c r="ADX30" s="2"/>
      <c r="ADY30" s="2"/>
      <c r="ADZ30" s="2"/>
      <c r="AEA30" s="2"/>
      <c r="AEB30" s="2"/>
      <c r="AEC30" s="2"/>
      <c r="AED30" s="2"/>
      <c r="AEE30" s="2"/>
      <c r="AEF30" s="2"/>
      <c r="AEG30" s="2"/>
      <c r="AEH30" s="2"/>
      <c r="AEI30" s="2"/>
      <c r="AEJ30" s="2"/>
      <c r="AEK30" s="2"/>
      <c r="AEL30" s="2"/>
      <c r="AEM30" s="2"/>
      <c r="AEN30" s="2"/>
      <c r="AEO30" s="2"/>
      <c r="AEP30" s="2"/>
      <c r="AEQ30" s="2"/>
      <c r="AER30" s="2"/>
      <c r="AES30" s="2"/>
      <c r="AET30" s="2"/>
      <c r="AEU30" s="2"/>
      <c r="AEV30" s="2"/>
      <c r="AEW30" s="2"/>
      <c r="AEX30" s="2"/>
      <c r="AEY30" s="2"/>
      <c r="AEZ30" s="2"/>
      <c r="AFA30" s="2"/>
      <c r="AFB30" s="2"/>
      <c r="AFC30" s="2"/>
      <c r="AFD30" s="2"/>
      <c r="AFE30" s="2"/>
      <c r="AFF30" s="2"/>
      <c r="AFG30" s="2"/>
      <c r="AFH30" s="2"/>
      <c r="AFI30" s="2"/>
      <c r="AFJ30" s="2"/>
      <c r="AFK30" s="2"/>
      <c r="AFL30" s="2"/>
      <c r="AFM30" s="2"/>
      <c r="AFN30" s="2"/>
      <c r="AFO30" s="2"/>
      <c r="AFP30" s="2"/>
      <c r="AFQ30" s="2"/>
      <c r="AFR30" s="2"/>
      <c r="AFS30" s="2"/>
      <c r="AFT30" s="2"/>
      <c r="AFU30" s="2"/>
      <c r="AFV30" s="2"/>
      <c r="AFW30" s="2"/>
      <c r="AFX30" s="2"/>
      <c r="AFY30" s="2"/>
      <c r="AFZ30" s="2"/>
      <c r="AGA30" s="2"/>
      <c r="AGB30" s="2"/>
      <c r="AGC30" s="2"/>
      <c r="AGD30" s="2"/>
      <c r="AGE30" s="2"/>
      <c r="AGF30" s="2"/>
      <c r="AGG30" s="2"/>
      <c r="AGH30" s="2"/>
      <c r="AGI30" s="2"/>
      <c r="AGJ30" s="2"/>
      <c r="AGK30" s="2"/>
      <c r="AGL30" s="2"/>
      <c r="AGM30" s="2"/>
      <c r="AGN30" s="2"/>
      <c r="AGO30" s="2"/>
      <c r="AGP30" s="2"/>
      <c r="AGQ30" s="2"/>
      <c r="AGR30" s="2"/>
      <c r="AGS30" s="2"/>
      <c r="AGT30" s="2"/>
      <c r="AGU30" s="2"/>
      <c r="AGV30" s="2"/>
      <c r="AGW30" s="2"/>
      <c r="AGX30" s="2"/>
      <c r="AGY30" s="2"/>
      <c r="AGZ30" s="2"/>
      <c r="AHA30" s="2"/>
      <c r="AHB30" s="2"/>
      <c r="AHC30" s="2"/>
      <c r="AHD30" s="2"/>
      <c r="AHE30" s="2"/>
      <c r="AHF30" s="2"/>
      <c r="AHG30" s="2"/>
      <c r="AHH30" s="2"/>
      <c r="AHI30" s="2"/>
      <c r="AHJ30" s="2"/>
      <c r="AHK30" s="2"/>
      <c r="AHL30" s="2"/>
      <c r="AHM30" s="2"/>
      <c r="AHN30" s="2"/>
      <c r="AHO30" s="2"/>
      <c r="AHP30" s="2"/>
      <c r="AHQ30" s="2"/>
      <c r="AHR30" s="2"/>
      <c r="AHS30" s="2"/>
      <c r="AHT30" s="2"/>
      <c r="AHU30" s="2"/>
      <c r="AHV30" s="2"/>
      <c r="AHW30" s="2"/>
      <c r="AHX30" s="2"/>
      <c r="AHY30" s="2"/>
      <c r="AHZ30" s="2"/>
      <c r="AIA30" s="2"/>
      <c r="AIB30" s="2"/>
      <c r="AIC30" s="2"/>
      <c r="AID30" s="2"/>
      <c r="AIE30" s="2"/>
      <c r="AIF30" s="2"/>
      <c r="AIG30" s="2"/>
      <c r="AIH30" s="2"/>
      <c r="AII30" s="2"/>
      <c r="AIJ30" s="2"/>
      <c r="AIK30" s="2"/>
      <c r="AIL30" s="2"/>
      <c r="AIM30" s="2"/>
      <c r="AIN30" s="2"/>
      <c r="AIO30" s="2"/>
      <c r="AIP30" s="2"/>
      <c r="AIQ30" s="2"/>
      <c r="AIR30" s="2"/>
      <c r="AIS30" s="2"/>
      <c r="AIT30" s="2"/>
      <c r="AIU30" s="2"/>
      <c r="AIV30" s="2"/>
      <c r="AIW30" s="2"/>
      <c r="AIX30" s="2"/>
      <c r="AIY30" s="2"/>
      <c r="AIZ30" s="2"/>
      <c r="AJA30" s="2"/>
      <c r="AJB30" s="2"/>
      <c r="AJC30" s="2"/>
      <c r="AJD30" s="2"/>
      <c r="AJE30" s="2"/>
      <c r="AJF30" s="2"/>
      <c r="AJG30" s="2"/>
      <c r="AJH30" s="2"/>
      <c r="AJI30" s="2"/>
      <c r="AJJ30" s="2"/>
      <c r="AJK30" s="2"/>
      <c r="AJL30" s="2"/>
      <c r="AJM30" s="2"/>
      <c r="AJN30" s="2"/>
      <c r="AJO30" s="2"/>
      <c r="AJP30" s="2"/>
      <c r="AJQ30" s="2"/>
      <c r="AJR30" s="2"/>
      <c r="AJS30" s="2"/>
      <c r="AJT30" s="2"/>
      <c r="AJU30" s="2"/>
      <c r="AJV30" s="2"/>
      <c r="AJW30" s="2"/>
      <c r="AJX30" s="2"/>
      <c r="AJY30" s="2"/>
      <c r="AJZ30" s="2"/>
      <c r="AKA30" s="2"/>
      <c r="AKB30" s="2"/>
      <c r="AKC30" s="2"/>
      <c r="AKD30" s="2"/>
      <c r="AKE30" s="2"/>
      <c r="AKF30" s="2"/>
      <c r="AKG30" s="2"/>
      <c r="AKH30" s="2"/>
      <c r="AKI30" s="2"/>
      <c r="AKJ30" s="2"/>
      <c r="AKK30" s="2"/>
      <c r="AKL30" s="2"/>
      <c r="AKM30" s="2"/>
      <c r="AKN30" s="2"/>
      <c r="AKO30" s="2"/>
      <c r="AKP30" s="2"/>
      <c r="AKQ30" s="2"/>
      <c r="AKR30" s="2"/>
      <c r="AKS30" s="2"/>
      <c r="AKT30" s="2"/>
      <c r="AKU30" s="2"/>
      <c r="AKV30" s="2"/>
      <c r="AKW30" s="2"/>
      <c r="AKX30" s="2"/>
      <c r="AKY30" s="2"/>
      <c r="AKZ30" s="2"/>
      <c r="ALA30" s="2"/>
      <c r="ALB30" s="2"/>
      <c r="ALC30" s="2"/>
      <c r="ALD30" s="2"/>
      <c r="ALE30" s="2"/>
      <c r="ALF30" s="2"/>
      <c r="ALG30" s="2"/>
      <c r="ALH30" s="2"/>
      <c r="ALI30" s="2"/>
      <c r="ALJ30" s="2"/>
      <c r="ALK30" s="2"/>
      <c r="ALL30" s="2"/>
    </row>
    <row r="31" spans="1:1000" customFormat="1" ht="15" x14ac:dyDescent="0.25">
      <c r="A31" s="2" t="str">
        <f ca="1">IF(_xll.TM1RPTELISCONSOLIDATED($C$14,$C31),IF(_xll.TM1RPTELLEV($C$14,$C31)&lt;=3,_xll.TM1RPTELLEV($C$14,$C31),"D"),"N")</f>
        <v>N</v>
      </c>
      <c r="B31" s="2"/>
      <c r="C31" s="49" t="s">
        <v>132</v>
      </c>
      <c r="D31" s="8" t="str">
        <f ca="1">_xll.DBRW($C$9,$C31,D$12)</f>
        <v>SP 2110</v>
      </c>
      <c r="E31" s="8" t="str">
        <f ca="1">_xll.DBRW($C$9,$C31,E$12)</f>
        <v>SP 2110</v>
      </c>
      <c r="F31" s="9" t="str">
        <f ca="1">_xll.DBRW($C$9,$C31,F$12)</f>
        <v>Y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  <c r="AAA31" s="2"/>
      <c r="AAB31" s="2"/>
      <c r="AAC31" s="2"/>
      <c r="AAD31" s="2"/>
      <c r="AAE31" s="2"/>
      <c r="AAF31" s="2"/>
      <c r="AAG31" s="2"/>
      <c r="AAH31" s="2"/>
      <c r="AAI31" s="2"/>
      <c r="AAJ31" s="2"/>
      <c r="AAK31" s="2"/>
      <c r="AAL31" s="2"/>
      <c r="AAM31" s="2"/>
      <c r="AAN31" s="2"/>
      <c r="AAO31" s="2"/>
      <c r="AAP31" s="2"/>
      <c r="AAQ31" s="2"/>
      <c r="AAR31" s="2"/>
      <c r="AAS31" s="2"/>
      <c r="AAT31" s="2"/>
      <c r="AAU31" s="2"/>
      <c r="AAV31" s="2"/>
      <c r="AAW31" s="2"/>
      <c r="AAX31" s="2"/>
      <c r="AAY31" s="2"/>
      <c r="AAZ31" s="2"/>
      <c r="ABA31" s="2"/>
      <c r="ABB31" s="2"/>
      <c r="ABC31" s="2"/>
      <c r="ABD31" s="2"/>
      <c r="ABE31" s="2"/>
      <c r="ABF31" s="2"/>
      <c r="ABG31" s="2"/>
      <c r="ABH31" s="2"/>
      <c r="ABI31" s="2"/>
      <c r="ABJ31" s="2"/>
      <c r="ABK31" s="2"/>
      <c r="ABL31" s="2"/>
      <c r="ABM31" s="2"/>
      <c r="ABN31" s="2"/>
      <c r="ABO31" s="2"/>
      <c r="ABP31" s="2"/>
      <c r="ABQ31" s="2"/>
      <c r="ABR31" s="2"/>
      <c r="ABS31" s="2"/>
      <c r="ABT31" s="2"/>
      <c r="ABU31" s="2"/>
      <c r="ABV31" s="2"/>
      <c r="ABW31" s="2"/>
      <c r="ABX31" s="2"/>
      <c r="ABY31" s="2"/>
      <c r="ABZ31" s="2"/>
      <c r="ACA31" s="2"/>
      <c r="ACB31" s="2"/>
      <c r="ACC31" s="2"/>
      <c r="ACD31" s="2"/>
      <c r="ACE31" s="2"/>
      <c r="ACF31" s="2"/>
      <c r="ACG31" s="2"/>
      <c r="ACH31" s="2"/>
      <c r="ACI31" s="2"/>
      <c r="ACJ31" s="2"/>
      <c r="ACK31" s="2"/>
      <c r="ACL31" s="2"/>
      <c r="ACM31" s="2"/>
      <c r="ACN31" s="2"/>
      <c r="ACO31" s="2"/>
      <c r="ACP31" s="2"/>
      <c r="ACQ31" s="2"/>
      <c r="ACR31" s="2"/>
      <c r="ACS31" s="2"/>
      <c r="ACT31" s="2"/>
      <c r="ACU31" s="2"/>
      <c r="ACV31" s="2"/>
      <c r="ACW31" s="2"/>
      <c r="ACX31" s="2"/>
      <c r="ACY31" s="2"/>
      <c r="ACZ31" s="2"/>
      <c r="ADA31" s="2"/>
      <c r="ADB31" s="2"/>
      <c r="ADC31" s="2"/>
      <c r="ADD31" s="2"/>
      <c r="ADE31" s="2"/>
      <c r="ADF31" s="2"/>
      <c r="ADG31" s="2"/>
      <c r="ADH31" s="2"/>
      <c r="ADI31" s="2"/>
      <c r="ADJ31" s="2"/>
      <c r="ADK31" s="2"/>
      <c r="ADL31" s="2"/>
      <c r="ADM31" s="2"/>
      <c r="ADN31" s="2"/>
      <c r="ADO31" s="2"/>
      <c r="ADP31" s="2"/>
      <c r="ADQ31" s="2"/>
      <c r="ADR31" s="2"/>
      <c r="ADS31" s="2"/>
      <c r="ADT31" s="2"/>
      <c r="ADU31" s="2"/>
      <c r="ADV31" s="2"/>
      <c r="ADW31" s="2"/>
      <c r="ADX31" s="2"/>
      <c r="ADY31" s="2"/>
      <c r="ADZ31" s="2"/>
      <c r="AEA31" s="2"/>
      <c r="AEB31" s="2"/>
      <c r="AEC31" s="2"/>
      <c r="AED31" s="2"/>
      <c r="AEE31" s="2"/>
      <c r="AEF31" s="2"/>
      <c r="AEG31" s="2"/>
      <c r="AEH31" s="2"/>
      <c r="AEI31" s="2"/>
      <c r="AEJ31" s="2"/>
      <c r="AEK31" s="2"/>
      <c r="AEL31" s="2"/>
      <c r="AEM31" s="2"/>
      <c r="AEN31" s="2"/>
      <c r="AEO31" s="2"/>
      <c r="AEP31" s="2"/>
      <c r="AEQ31" s="2"/>
      <c r="AER31" s="2"/>
      <c r="AES31" s="2"/>
      <c r="AET31" s="2"/>
      <c r="AEU31" s="2"/>
      <c r="AEV31" s="2"/>
      <c r="AEW31" s="2"/>
      <c r="AEX31" s="2"/>
      <c r="AEY31" s="2"/>
      <c r="AEZ31" s="2"/>
      <c r="AFA31" s="2"/>
      <c r="AFB31" s="2"/>
      <c r="AFC31" s="2"/>
      <c r="AFD31" s="2"/>
      <c r="AFE31" s="2"/>
      <c r="AFF31" s="2"/>
      <c r="AFG31" s="2"/>
      <c r="AFH31" s="2"/>
      <c r="AFI31" s="2"/>
      <c r="AFJ31" s="2"/>
      <c r="AFK31" s="2"/>
      <c r="AFL31" s="2"/>
      <c r="AFM31" s="2"/>
      <c r="AFN31" s="2"/>
      <c r="AFO31" s="2"/>
      <c r="AFP31" s="2"/>
      <c r="AFQ31" s="2"/>
      <c r="AFR31" s="2"/>
      <c r="AFS31" s="2"/>
      <c r="AFT31" s="2"/>
      <c r="AFU31" s="2"/>
      <c r="AFV31" s="2"/>
      <c r="AFW31" s="2"/>
      <c r="AFX31" s="2"/>
      <c r="AFY31" s="2"/>
      <c r="AFZ31" s="2"/>
      <c r="AGA31" s="2"/>
      <c r="AGB31" s="2"/>
      <c r="AGC31" s="2"/>
      <c r="AGD31" s="2"/>
      <c r="AGE31" s="2"/>
      <c r="AGF31" s="2"/>
      <c r="AGG31" s="2"/>
      <c r="AGH31" s="2"/>
      <c r="AGI31" s="2"/>
      <c r="AGJ31" s="2"/>
      <c r="AGK31" s="2"/>
      <c r="AGL31" s="2"/>
      <c r="AGM31" s="2"/>
      <c r="AGN31" s="2"/>
      <c r="AGO31" s="2"/>
      <c r="AGP31" s="2"/>
      <c r="AGQ31" s="2"/>
      <c r="AGR31" s="2"/>
      <c r="AGS31" s="2"/>
      <c r="AGT31" s="2"/>
      <c r="AGU31" s="2"/>
      <c r="AGV31" s="2"/>
      <c r="AGW31" s="2"/>
      <c r="AGX31" s="2"/>
      <c r="AGY31" s="2"/>
      <c r="AGZ31" s="2"/>
      <c r="AHA31" s="2"/>
      <c r="AHB31" s="2"/>
      <c r="AHC31" s="2"/>
      <c r="AHD31" s="2"/>
      <c r="AHE31" s="2"/>
      <c r="AHF31" s="2"/>
      <c r="AHG31" s="2"/>
      <c r="AHH31" s="2"/>
      <c r="AHI31" s="2"/>
      <c r="AHJ31" s="2"/>
      <c r="AHK31" s="2"/>
      <c r="AHL31" s="2"/>
      <c r="AHM31" s="2"/>
      <c r="AHN31" s="2"/>
      <c r="AHO31" s="2"/>
      <c r="AHP31" s="2"/>
      <c r="AHQ31" s="2"/>
      <c r="AHR31" s="2"/>
      <c r="AHS31" s="2"/>
      <c r="AHT31" s="2"/>
      <c r="AHU31" s="2"/>
      <c r="AHV31" s="2"/>
      <c r="AHW31" s="2"/>
      <c r="AHX31" s="2"/>
      <c r="AHY31" s="2"/>
      <c r="AHZ31" s="2"/>
      <c r="AIA31" s="2"/>
      <c r="AIB31" s="2"/>
      <c r="AIC31" s="2"/>
      <c r="AID31" s="2"/>
      <c r="AIE31" s="2"/>
      <c r="AIF31" s="2"/>
      <c r="AIG31" s="2"/>
      <c r="AIH31" s="2"/>
      <c r="AII31" s="2"/>
      <c r="AIJ31" s="2"/>
      <c r="AIK31" s="2"/>
      <c r="AIL31" s="2"/>
      <c r="AIM31" s="2"/>
      <c r="AIN31" s="2"/>
      <c r="AIO31" s="2"/>
      <c r="AIP31" s="2"/>
      <c r="AIQ31" s="2"/>
      <c r="AIR31" s="2"/>
      <c r="AIS31" s="2"/>
      <c r="AIT31" s="2"/>
      <c r="AIU31" s="2"/>
      <c r="AIV31" s="2"/>
      <c r="AIW31" s="2"/>
      <c r="AIX31" s="2"/>
      <c r="AIY31" s="2"/>
      <c r="AIZ31" s="2"/>
      <c r="AJA31" s="2"/>
      <c r="AJB31" s="2"/>
      <c r="AJC31" s="2"/>
      <c r="AJD31" s="2"/>
      <c r="AJE31" s="2"/>
      <c r="AJF31" s="2"/>
      <c r="AJG31" s="2"/>
      <c r="AJH31" s="2"/>
      <c r="AJI31" s="2"/>
      <c r="AJJ31" s="2"/>
      <c r="AJK31" s="2"/>
      <c r="AJL31" s="2"/>
      <c r="AJM31" s="2"/>
      <c r="AJN31" s="2"/>
      <c r="AJO31" s="2"/>
      <c r="AJP31" s="2"/>
      <c r="AJQ31" s="2"/>
      <c r="AJR31" s="2"/>
      <c r="AJS31" s="2"/>
      <c r="AJT31" s="2"/>
      <c r="AJU31" s="2"/>
      <c r="AJV31" s="2"/>
      <c r="AJW31" s="2"/>
      <c r="AJX31" s="2"/>
      <c r="AJY31" s="2"/>
      <c r="AJZ31" s="2"/>
      <c r="AKA31" s="2"/>
      <c r="AKB31" s="2"/>
      <c r="AKC31" s="2"/>
      <c r="AKD31" s="2"/>
      <c r="AKE31" s="2"/>
      <c r="AKF31" s="2"/>
      <c r="AKG31" s="2"/>
      <c r="AKH31" s="2"/>
      <c r="AKI31" s="2"/>
      <c r="AKJ31" s="2"/>
      <c r="AKK31" s="2"/>
      <c r="AKL31" s="2"/>
      <c r="AKM31" s="2"/>
      <c r="AKN31" s="2"/>
      <c r="AKO31" s="2"/>
      <c r="AKP31" s="2"/>
      <c r="AKQ31" s="2"/>
      <c r="AKR31" s="2"/>
      <c r="AKS31" s="2"/>
      <c r="AKT31" s="2"/>
      <c r="AKU31" s="2"/>
      <c r="AKV31" s="2"/>
      <c r="AKW31" s="2"/>
      <c r="AKX31" s="2"/>
      <c r="AKY31" s="2"/>
      <c r="AKZ31" s="2"/>
      <c r="ALA31" s="2"/>
      <c r="ALB31" s="2"/>
      <c r="ALC31" s="2"/>
      <c r="ALD31" s="2"/>
      <c r="ALE31" s="2"/>
      <c r="ALF31" s="2"/>
      <c r="ALG31" s="2"/>
      <c r="ALH31" s="2"/>
      <c r="ALI31" s="2"/>
      <c r="ALJ31" s="2"/>
      <c r="ALK31" s="2"/>
      <c r="ALL31" s="2"/>
    </row>
    <row r="32" spans="1:1000" customFormat="1" ht="15" x14ac:dyDescent="0.25">
      <c r="A32" s="2" t="str">
        <f ca="1">IF(_xll.TM1RPTELISCONSOLIDATED($C$14,$C32),IF(_xll.TM1RPTELLEV($C$14,$C32)&lt;=3,_xll.TM1RPTELLEV($C$14,$C32),"D"),"N")</f>
        <v>N</v>
      </c>
      <c r="B32" s="2"/>
      <c r="C32" s="49" t="s">
        <v>133</v>
      </c>
      <c r="D32" s="8" t="str">
        <f ca="1">_xll.DBRW($C$9,$C32,D$12)</f>
        <v>SP 2150</v>
      </c>
      <c r="E32" s="8" t="str">
        <f ca="1">_xll.DBRW($C$9,$C32,E$12)</f>
        <v>SP 2150</v>
      </c>
      <c r="F32" s="9" t="str">
        <f ca="1">_xll.DBRW($C$9,$C32,F$12)</f>
        <v>Y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/>
      <c r="AFM32" s="2"/>
      <c r="AFN32" s="2"/>
      <c r="AFO32" s="2"/>
      <c r="AFP32" s="2"/>
      <c r="AFQ32" s="2"/>
      <c r="AFR32" s="2"/>
      <c r="AFS32" s="2"/>
      <c r="AFT32" s="2"/>
      <c r="AFU32" s="2"/>
      <c r="AFV32" s="2"/>
      <c r="AFW32" s="2"/>
      <c r="AFX32" s="2"/>
      <c r="AFY32" s="2"/>
      <c r="AFZ32" s="2"/>
      <c r="AGA32" s="2"/>
      <c r="AGB32" s="2"/>
      <c r="AGC32" s="2"/>
      <c r="AGD32" s="2"/>
      <c r="AGE32" s="2"/>
      <c r="AGF32" s="2"/>
      <c r="AGG32" s="2"/>
      <c r="AGH32" s="2"/>
      <c r="AGI32" s="2"/>
      <c r="AGJ32" s="2"/>
      <c r="AGK32" s="2"/>
      <c r="AGL32" s="2"/>
      <c r="AGM32" s="2"/>
      <c r="AGN32" s="2"/>
      <c r="AGO32" s="2"/>
      <c r="AGP32" s="2"/>
      <c r="AGQ32" s="2"/>
      <c r="AGR32" s="2"/>
      <c r="AGS32" s="2"/>
      <c r="AGT32" s="2"/>
      <c r="AGU32" s="2"/>
      <c r="AGV32" s="2"/>
      <c r="AGW32" s="2"/>
      <c r="AGX32" s="2"/>
      <c r="AGY32" s="2"/>
      <c r="AGZ32" s="2"/>
      <c r="AHA32" s="2"/>
      <c r="AHB32" s="2"/>
      <c r="AHC32" s="2"/>
      <c r="AHD32" s="2"/>
      <c r="AHE32" s="2"/>
      <c r="AHF32" s="2"/>
      <c r="AHG32" s="2"/>
      <c r="AHH32" s="2"/>
      <c r="AHI32" s="2"/>
      <c r="AHJ32" s="2"/>
      <c r="AHK32" s="2"/>
      <c r="AHL32" s="2"/>
      <c r="AHM32" s="2"/>
      <c r="AHN32" s="2"/>
      <c r="AHO32" s="2"/>
      <c r="AHP32" s="2"/>
      <c r="AHQ32" s="2"/>
      <c r="AHR32" s="2"/>
      <c r="AHS32" s="2"/>
      <c r="AHT32" s="2"/>
      <c r="AHU32" s="2"/>
      <c r="AHV32" s="2"/>
      <c r="AHW32" s="2"/>
      <c r="AHX32" s="2"/>
      <c r="AHY32" s="2"/>
      <c r="AHZ32" s="2"/>
      <c r="AIA32" s="2"/>
      <c r="AIB32" s="2"/>
      <c r="AIC32" s="2"/>
      <c r="AID32" s="2"/>
      <c r="AIE32" s="2"/>
      <c r="AIF32" s="2"/>
      <c r="AIG32" s="2"/>
      <c r="AIH32" s="2"/>
      <c r="AII32" s="2"/>
      <c r="AIJ32" s="2"/>
      <c r="AIK32" s="2"/>
      <c r="AIL32" s="2"/>
      <c r="AIM32" s="2"/>
      <c r="AIN32" s="2"/>
      <c r="AIO32" s="2"/>
      <c r="AIP32" s="2"/>
      <c r="AIQ32" s="2"/>
      <c r="AIR32" s="2"/>
      <c r="AIS32" s="2"/>
      <c r="AIT32" s="2"/>
      <c r="AIU32" s="2"/>
      <c r="AIV32" s="2"/>
      <c r="AIW32" s="2"/>
      <c r="AIX32" s="2"/>
      <c r="AIY32" s="2"/>
      <c r="AIZ32" s="2"/>
      <c r="AJA32" s="2"/>
      <c r="AJB32" s="2"/>
      <c r="AJC32" s="2"/>
      <c r="AJD32" s="2"/>
      <c r="AJE32" s="2"/>
      <c r="AJF32" s="2"/>
      <c r="AJG32" s="2"/>
      <c r="AJH32" s="2"/>
      <c r="AJI32" s="2"/>
      <c r="AJJ32" s="2"/>
      <c r="AJK32" s="2"/>
      <c r="AJL32" s="2"/>
      <c r="AJM32" s="2"/>
      <c r="AJN32" s="2"/>
      <c r="AJO32" s="2"/>
      <c r="AJP32" s="2"/>
      <c r="AJQ32" s="2"/>
      <c r="AJR32" s="2"/>
      <c r="AJS32" s="2"/>
      <c r="AJT32" s="2"/>
      <c r="AJU32" s="2"/>
      <c r="AJV32" s="2"/>
      <c r="AJW32" s="2"/>
      <c r="AJX32" s="2"/>
      <c r="AJY32" s="2"/>
      <c r="AJZ32" s="2"/>
      <c r="AKA32" s="2"/>
      <c r="AKB32" s="2"/>
      <c r="AKC32" s="2"/>
      <c r="AKD32" s="2"/>
      <c r="AKE32" s="2"/>
      <c r="AKF32" s="2"/>
      <c r="AKG32" s="2"/>
      <c r="AKH32" s="2"/>
      <c r="AKI32" s="2"/>
      <c r="AKJ32" s="2"/>
      <c r="AKK32" s="2"/>
      <c r="AKL32" s="2"/>
      <c r="AKM32" s="2"/>
      <c r="AKN32" s="2"/>
      <c r="AKO32" s="2"/>
      <c r="AKP32" s="2"/>
      <c r="AKQ32" s="2"/>
      <c r="AKR32" s="2"/>
      <c r="AKS32" s="2"/>
      <c r="AKT32" s="2"/>
      <c r="AKU32" s="2"/>
      <c r="AKV32" s="2"/>
      <c r="AKW32" s="2"/>
      <c r="AKX32" s="2"/>
      <c r="AKY32" s="2"/>
      <c r="AKZ32" s="2"/>
      <c r="ALA32" s="2"/>
      <c r="ALB32" s="2"/>
      <c r="ALC32" s="2"/>
      <c r="ALD32" s="2"/>
      <c r="ALE32" s="2"/>
      <c r="ALF32" s="2"/>
      <c r="ALG32" s="2"/>
      <c r="ALH32" s="2"/>
      <c r="ALI32" s="2"/>
      <c r="ALJ32" s="2"/>
      <c r="ALK32" s="2"/>
      <c r="ALL32" s="2"/>
    </row>
    <row r="33" spans="1:1000" customFormat="1" ht="15" x14ac:dyDescent="0.25">
      <c r="A33" s="2">
        <f ca="1">IF(_xll.TM1RPTELISCONSOLIDATED($C$14,$C33),IF(_xll.TM1RPTELLEV($C$14,$C33)&lt;=3,_xll.TM1RPTELLEV($C$14,$C33),"D"),"N")</f>
        <v>2</v>
      </c>
      <c r="B33" s="2"/>
      <c r="C33" s="48" t="s">
        <v>134</v>
      </c>
      <c r="D33" s="28" t="str">
        <f ca="1">_xll.DBRW($C$9,$C33,D$12)</f>
        <v>Laptops</v>
      </c>
      <c r="E33" s="28" t="str">
        <f ca="1">_xll.DBRW($C$9,$C33,E$12)</f>
        <v>Laptops</v>
      </c>
      <c r="F33" s="55" t="str">
        <f ca="1">_xll.DBRW($C$9,$C33,F$12)</f>
        <v>Y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2"/>
      <c r="AKB33" s="2"/>
      <c r="AKC33" s="2"/>
      <c r="AKD33" s="2"/>
      <c r="AKE33" s="2"/>
      <c r="AKF33" s="2"/>
      <c r="AKG33" s="2"/>
      <c r="AKH33" s="2"/>
      <c r="AKI33" s="2"/>
      <c r="AKJ33" s="2"/>
      <c r="AKK33" s="2"/>
      <c r="AKL33" s="2"/>
      <c r="AKM33" s="2"/>
      <c r="AKN33" s="2"/>
      <c r="AKO33" s="2"/>
      <c r="AKP33" s="2"/>
      <c r="AKQ33" s="2"/>
      <c r="AKR33" s="2"/>
      <c r="AKS33" s="2"/>
      <c r="AKT33" s="2"/>
      <c r="AKU33" s="2"/>
      <c r="AKV33" s="2"/>
      <c r="AKW33" s="2"/>
      <c r="AKX33" s="2"/>
      <c r="AKY33" s="2"/>
      <c r="AKZ33" s="2"/>
      <c r="ALA33" s="2"/>
      <c r="ALB33" s="2"/>
      <c r="ALC33" s="2"/>
      <c r="ALD33" s="2"/>
      <c r="ALE33" s="2"/>
      <c r="ALF33" s="2"/>
      <c r="ALG33" s="2"/>
      <c r="ALH33" s="2"/>
      <c r="ALI33" s="2"/>
      <c r="ALJ33" s="2"/>
      <c r="ALK33" s="2"/>
      <c r="ALL33" s="2"/>
    </row>
    <row r="34" spans="1:1000" customFormat="1" ht="15" x14ac:dyDescent="0.25">
      <c r="A34" s="2" t="str">
        <f ca="1">IF(_xll.TM1RPTELISCONSOLIDATED($C$14,$C34),IF(_xll.TM1RPTELLEV($C$14,$C34)&lt;=3,_xll.TM1RPTELLEV($C$14,$C34),"D"),"N")</f>
        <v>N</v>
      </c>
      <c r="B34" s="2"/>
      <c r="C34" s="49" t="s">
        <v>135</v>
      </c>
      <c r="D34" s="8" t="str">
        <f ca="1">_xll.DBRW($C$9,$C34,D$12)</f>
        <v>T 500</v>
      </c>
      <c r="E34" s="8" t="str">
        <f ca="1">_xll.DBRW($C$9,$C34,E$12)</f>
        <v>T 500</v>
      </c>
      <c r="F34" s="9" t="str">
        <f ca="1">_xll.DBRW($C$9,$C34,F$12)</f>
        <v>Y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</row>
    <row r="35" spans="1:1000" customFormat="1" ht="15" x14ac:dyDescent="0.25">
      <c r="A35" s="2" t="str">
        <f ca="1">IF(_xll.TM1RPTELISCONSOLIDATED($C$14,$C35),IF(_xll.TM1RPTELLEV($C$14,$C35)&lt;=3,_xll.TM1RPTELLEV($C$14,$C35),"D"),"N")</f>
        <v>N</v>
      </c>
      <c r="B35" s="2"/>
      <c r="C35" s="49" t="s">
        <v>136</v>
      </c>
      <c r="D35" s="8" t="str">
        <f ca="1">_xll.DBRW($C$9,$C35,D$12)</f>
        <v>T 510</v>
      </c>
      <c r="E35" s="8" t="str">
        <f ca="1">_xll.DBRW($C$9,$C35,E$12)</f>
        <v>T 510</v>
      </c>
      <c r="F35" s="9" t="str">
        <f ca="1">_xll.DBRW($C$9,$C35,F$12)</f>
        <v>Y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2"/>
      <c r="AKB35" s="2"/>
      <c r="AKC35" s="2"/>
      <c r="AKD35" s="2"/>
      <c r="AKE35" s="2"/>
      <c r="AKF35" s="2"/>
      <c r="AKG35" s="2"/>
      <c r="AKH35" s="2"/>
      <c r="AKI35" s="2"/>
      <c r="AKJ35" s="2"/>
      <c r="AKK35" s="2"/>
      <c r="AKL35" s="2"/>
      <c r="AKM35" s="2"/>
      <c r="AKN35" s="2"/>
      <c r="AKO35" s="2"/>
      <c r="AKP35" s="2"/>
      <c r="AKQ35" s="2"/>
      <c r="AKR35" s="2"/>
      <c r="AKS35" s="2"/>
      <c r="AKT35" s="2"/>
      <c r="AKU35" s="2"/>
      <c r="AKV35" s="2"/>
      <c r="AKW35" s="2"/>
      <c r="AKX35" s="2"/>
      <c r="AKY35" s="2"/>
      <c r="AKZ35" s="2"/>
      <c r="ALA35" s="2"/>
      <c r="ALB35" s="2"/>
      <c r="ALC35" s="2"/>
      <c r="ALD35" s="2"/>
      <c r="ALE35" s="2"/>
      <c r="ALF35" s="2"/>
      <c r="ALG35" s="2"/>
      <c r="ALH35" s="2"/>
      <c r="ALI35" s="2"/>
      <c r="ALJ35" s="2"/>
      <c r="ALK35" s="2"/>
      <c r="ALL35" s="2"/>
    </row>
    <row r="36" spans="1:1000" customFormat="1" ht="15" x14ac:dyDescent="0.25">
      <c r="A36" s="2" t="str">
        <f ca="1">IF(_xll.TM1RPTELISCONSOLIDATED($C$14,$C36),IF(_xll.TM1RPTELLEV($C$14,$C36)&lt;=3,_xll.TM1RPTELLEV($C$14,$C36),"D"),"N")</f>
        <v>N</v>
      </c>
      <c r="B36" s="2"/>
      <c r="C36" s="49" t="s">
        <v>137</v>
      </c>
      <c r="D36" s="8" t="str">
        <f ca="1">_xll.DBRW($C$9,$C36,D$12)</f>
        <v>T 520</v>
      </c>
      <c r="E36" s="8" t="str">
        <f ca="1">_xll.DBRW($C$9,$C36,E$12)</f>
        <v>T 520</v>
      </c>
      <c r="F36" s="9" t="str">
        <f ca="1">_xll.DBRW($C$9,$C36,F$12)</f>
        <v>Y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2"/>
      <c r="AKB36" s="2"/>
      <c r="AKC36" s="2"/>
      <c r="AKD36" s="2"/>
      <c r="AKE36" s="2"/>
      <c r="AKF36" s="2"/>
      <c r="AKG36" s="2"/>
      <c r="AKH36" s="2"/>
      <c r="AKI36" s="2"/>
      <c r="AKJ36" s="2"/>
      <c r="AKK36" s="2"/>
      <c r="AKL36" s="2"/>
      <c r="AKM36" s="2"/>
      <c r="AKN36" s="2"/>
      <c r="AKO36" s="2"/>
      <c r="AKP36" s="2"/>
      <c r="AKQ36" s="2"/>
      <c r="AKR36" s="2"/>
      <c r="AKS36" s="2"/>
      <c r="AKT36" s="2"/>
      <c r="AKU36" s="2"/>
      <c r="AKV36" s="2"/>
      <c r="AKW36" s="2"/>
      <c r="AKX36" s="2"/>
      <c r="AKY36" s="2"/>
      <c r="AKZ36" s="2"/>
      <c r="ALA36" s="2"/>
      <c r="ALB36" s="2"/>
      <c r="ALC36" s="2"/>
      <c r="ALD36" s="2"/>
      <c r="ALE36" s="2"/>
      <c r="ALF36" s="2"/>
      <c r="ALG36" s="2"/>
      <c r="ALH36" s="2"/>
      <c r="ALI36" s="2"/>
      <c r="ALJ36" s="2"/>
      <c r="ALK36" s="2"/>
      <c r="ALL36" s="2"/>
    </row>
    <row r="37" spans="1:1000" customFormat="1" ht="15" x14ac:dyDescent="0.25">
      <c r="A37" s="2">
        <f ca="1">IF(_xll.TM1RPTELISCONSOLIDATED($C$14,$C37),IF(_xll.TM1RPTELLEV($C$14,$C37)&lt;=3,_xll.TM1RPTELLEV($C$14,$C37),"D"),"N")</f>
        <v>2</v>
      </c>
      <c r="B37" s="2"/>
      <c r="C37" s="48" t="s">
        <v>138</v>
      </c>
      <c r="D37" s="28" t="str">
        <f ca="1">_xll.DBRW($C$9,$C37,D$12)</f>
        <v>Gaming</v>
      </c>
      <c r="E37" s="28" t="str">
        <f ca="1">_xll.DBRW($C$9,$C37,E$12)</f>
        <v>Gaming</v>
      </c>
      <c r="F37" s="55" t="str">
        <f ca="1">_xll.DBRW($C$9,$C37,F$12)</f>
        <v>Y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2"/>
      <c r="AKB37" s="2"/>
      <c r="AKC37" s="2"/>
      <c r="AKD37" s="2"/>
      <c r="AKE37" s="2"/>
      <c r="AKF37" s="2"/>
      <c r="AKG37" s="2"/>
      <c r="AKH37" s="2"/>
      <c r="AKI37" s="2"/>
      <c r="AKJ37" s="2"/>
      <c r="AKK37" s="2"/>
      <c r="AKL37" s="2"/>
      <c r="AKM37" s="2"/>
      <c r="AKN37" s="2"/>
      <c r="AKO37" s="2"/>
      <c r="AKP37" s="2"/>
      <c r="AKQ37" s="2"/>
      <c r="AKR37" s="2"/>
      <c r="AKS37" s="2"/>
      <c r="AKT37" s="2"/>
      <c r="AKU37" s="2"/>
      <c r="AKV37" s="2"/>
      <c r="AKW37" s="2"/>
      <c r="AKX37" s="2"/>
      <c r="AKY37" s="2"/>
      <c r="AKZ37" s="2"/>
      <c r="ALA37" s="2"/>
      <c r="ALB37" s="2"/>
      <c r="ALC37" s="2"/>
      <c r="ALD37" s="2"/>
      <c r="ALE37" s="2"/>
      <c r="ALF37" s="2"/>
      <c r="ALG37" s="2"/>
      <c r="ALH37" s="2"/>
      <c r="ALI37" s="2"/>
      <c r="ALJ37" s="2"/>
      <c r="ALK37" s="2"/>
      <c r="ALL37" s="2"/>
    </row>
    <row r="38" spans="1:1000" customFormat="1" ht="15" x14ac:dyDescent="0.25">
      <c r="A38" s="2" t="str">
        <f ca="1">IF(_xll.TM1RPTELISCONSOLIDATED($C$14,$C38),IF(_xll.TM1RPTELLEV($C$14,$C38)&lt;=3,_xll.TM1RPTELLEV($C$14,$C38),"D"),"N")</f>
        <v>N</v>
      </c>
      <c r="B38" s="2"/>
      <c r="C38" s="49" t="s">
        <v>139</v>
      </c>
      <c r="D38" s="8" t="str">
        <f ca="1">_xll.DBRW($C$9,$C38,D$12)</f>
        <v>XTR 9300</v>
      </c>
      <c r="E38" s="8" t="str">
        <f ca="1">_xll.DBRW($C$9,$C38,E$12)</f>
        <v>XTR 9300</v>
      </c>
      <c r="F38" s="9" t="str">
        <f ca="1">_xll.DBRW($C$9,$C38,F$12)</f>
        <v>Y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2"/>
      <c r="AKB38" s="2"/>
      <c r="AKC38" s="2"/>
      <c r="AKD38" s="2"/>
      <c r="AKE38" s="2"/>
      <c r="AKF38" s="2"/>
      <c r="AKG38" s="2"/>
      <c r="AKH38" s="2"/>
      <c r="AKI38" s="2"/>
      <c r="AKJ38" s="2"/>
      <c r="AKK38" s="2"/>
      <c r="AKL38" s="2"/>
      <c r="AKM38" s="2"/>
      <c r="AKN38" s="2"/>
      <c r="AKO38" s="2"/>
      <c r="AKP38" s="2"/>
      <c r="AKQ38" s="2"/>
      <c r="AKR38" s="2"/>
      <c r="AKS38" s="2"/>
      <c r="AKT38" s="2"/>
      <c r="AKU38" s="2"/>
      <c r="AKV38" s="2"/>
      <c r="AKW38" s="2"/>
      <c r="AKX38" s="2"/>
      <c r="AKY38" s="2"/>
      <c r="AKZ38" s="2"/>
      <c r="ALA38" s="2"/>
      <c r="ALB38" s="2"/>
      <c r="ALC38" s="2"/>
      <c r="ALD38" s="2"/>
      <c r="ALE38" s="2"/>
      <c r="ALF38" s="2"/>
      <c r="ALG38" s="2"/>
      <c r="ALH38" s="2"/>
      <c r="ALI38" s="2"/>
      <c r="ALJ38" s="2"/>
      <c r="ALK38" s="2"/>
      <c r="ALL38" s="2"/>
    </row>
    <row r="39" spans="1:1000" customFormat="1" ht="15" x14ac:dyDescent="0.25">
      <c r="A39" s="2" t="str">
        <f ca="1">IF(_xll.TM1RPTELISCONSOLIDATED($C$14,$C39),IF(_xll.TM1RPTELLEV($C$14,$C39)&lt;=3,_xll.TM1RPTELLEV($C$14,$C39),"D"),"N")</f>
        <v>N</v>
      </c>
      <c r="B39" s="2"/>
      <c r="C39" s="49" t="s">
        <v>140</v>
      </c>
      <c r="D39" s="8" t="str">
        <f ca="1">_xll.DBRW($C$9,$C39,D$12)</f>
        <v>XTR 9500</v>
      </c>
      <c r="E39" s="8" t="str">
        <f ca="1">_xll.DBRW($C$9,$C39,E$12)</f>
        <v>XTR 9500</v>
      </c>
      <c r="F39" s="9" t="str">
        <f ca="1">_xll.DBRW($C$9,$C39,F$12)</f>
        <v>Y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2"/>
      <c r="AKB39" s="2"/>
      <c r="AKC39" s="2"/>
      <c r="AKD39" s="2"/>
      <c r="AKE39" s="2"/>
      <c r="AKF39" s="2"/>
      <c r="AKG39" s="2"/>
      <c r="AKH39" s="2"/>
      <c r="AKI39" s="2"/>
      <c r="AKJ39" s="2"/>
      <c r="AKK39" s="2"/>
      <c r="AKL39" s="2"/>
      <c r="AKM39" s="2"/>
      <c r="AKN39" s="2"/>
      <c r="AKO39" s="2"/>
      <c r="AKP39" s="2"/>
      <c r="AKQ39" s="2"/>
      <c r="AKR39" s="2"/>
      <c r="AKS39" s="2"/>
      <c r="AKT39" s="2"/>
      <c r="AKU39" s="2"/>
      <c r="AKV39" s="2"/>
      <c r="AKW39" s="2"/>
      <c r="AKX39" s="2"/>
      <c r="AKY39" s="2"/>
      <c r="AKZ39" s="2"/>
      <c r="ALA39" s="2"/>
      <c r="ALB39" s="2"/>
      <c r="ALC39" s="2"/>
      <c r="ALD39" s="2"/>
      <c r="ALE39" s="2"/>
      <c r="ALF39" s="2"/>
      <c r="ALG39" s="2"/>
      <c r="ALH39" s="2"/>
      <c r="ALI39" s="2"/>
      <c r="ALJ39" s="2"/>
      <c r="ALK39" s="2"/>
      <c r="ALL39" s="2"/>
    </row>
    <row r="40" spans="1:1000" customFormat="1" ht="15" x14ac:dyDescent="0.25">
      <c r="A40" s="2" t="str">
        <f ca="1">IF(_xll.TM1RPTELISCONSOLIDATED($C$14,$C40),IF(_xll.TM1RPTELLEV($C$14,$C40)&lt;=3,_xll.TM1RPTELLEV($C$14,$C40),"D"),"N")</f>
        <v>N</v>
      </c>
      <c r="B40" s="2"/>
      <c r="C40" s="49" t="s">
        <v>141</v>
      </c>
      <c r="D40" s="8" t="str">
        <f ca="1">_xll.DBRW($C$9,$C40,D$12)</f>
        <v>XTR 9800</v>
      </c>
      <c r="E40" s="8" t="str">
        <f ca="1">_xll.DBRW($C$9,$C40,E$12)</f>
        <v>XTR 9800</v>
      </c>
      <c r="F40" s="9" t="str">
        <f ca="1">_xll.DBRW($C$9,$C40,F$12)</f>
        <v>Y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2"/>
      <c r="AKB40" s="2"/>
      <c r="AKC40" s="2"/>
      <c r="AKD40" s="2"/>
      <c r="AKE40" s="2"/>
      <c r="AKF40" s="2"/>
      <c r="AKG40" s="2"/>
      <c r="AKH40" s="2"/>
      <c r="AKI40" s="2"/>
      <c r="AKJ40" s="2"/>
      <c r="AKK40" s="2"/>
      <c r="AKL40" s="2"/>
      <c r="AKM40" s="2"/>
      <c r="AKN40" s="2"/>
      <c r="AKO40" s="2"/>
      <c r="AKP40" s="2"/>
      <c r="AKQ40" s="2"/>
      <c r="AKR40" s="2"/>
      <c r="AKS40" s="2"/>
      <c r="AKT40" s="2"/>
      <c r="AKU40" s="2"/>
      <c r="AKV40" s="2"/>
      <c r="AKW40" s="2"/>
      <c r="AKX40" s="2"/>
      <c r="AKY40" s="2"/>
      <c r="AKZ40" s="2"/>
      <c r="ALA40" s="2"/>
      <c r="ALB40" s="2"/>
      <c r="ALC40" s="2"/>
      <c r="ALD40" s="2"/>
      <c r="ALE40" s="2"/>
      <c r="ALF40" s="2"/>
      <c r="ALG40" s="2"/>
      <c r="ALH40" s="2"/>
      <c r="ALI40" s="2"/>
      <c r="ALJ40" s="2"/>
      <c r="ALK40" s="2"/>
      <c r="ALL40" s="2"/>
    </row>
    <row r="41" spans="1:1000" customFormat="1" ht="15" x14ac:dyDescent="0.25">
      <c r="A41" s="2">
        <f ca="1">IF(_xll.TM1RPTELISCONSOLIDATED($C$14,$C41),IF(_xll.TM1RPTELLEV($C$14,$C41)&lt;=3,_xll.TM1RPTELLEV($C$14,$C41),"D"),"N")</f>
        <v>1</v>
      </c>
      <c r="B41" s="2"/>
      <c r="C41" s="64" t="s">
        <v>142</v>
      </c>
      <c r="D41" s="58" t="str">
        <f ca="1">_xll.DBRW($C$9,$C41,D$12)</f>
        <v>Tablets</v>
      </c>
      <c r="E41" s="58" t="str">
        <f ca="1">_xll.DBRW($C$9,$C41,E$12)</f>
        <v>Tablets</v>
      </c>
      <c r="F41" s="57" t="str">
        <f ca="1">_xll.DBRW($C$9,$C41,F$12)</f>
        <v>Y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2"/>
      <c r="AKB41" s="2"/>
      <c r="AKC41" s="2"/>
      <c r="AKD41" s="2"/>
      <c r="AKE41" s="2"/>
      <c r="AKF41" s="2"/>
      <c r="AKG41" s="2"/>
      <c r="AKH41" s="2"/>
      <c r="AKI41" s="2"/>
      <c r="AKJ41" s="2"/>
      <c r="AKK41" s="2"/>
      <c r="AKL41" s="2"/>
      <c r="AKM41" s="2"/>
      <c r="AKN41" s="2"/>
      <c r="AKO41" s="2"/>
      <c r="AKP41" s="2"/>
      <c r="AKQ41" s="2"/>
      <c r="AKR41" s="2"/>
      <c r="AKS41" s="2"/>
      <c r="AKT41" s="2"/>
      <c r="AKU41" s="2"/>
      <c r="AKV41" s="2"/>
      <c r="AKW41" s="2"/>
      <c r="AKX41" s="2"/>
      <c r="AKY41" s="2"/>
      <c r="AKZ41" s="2"/>
      <c r="ALA41" s="2"/>
      <c r="ALB41" s="2"/>
      <c r="ALC41" s="2"/>
      <c r="ALD41" s="2"/>
      <c r="ALE41" s="2"/>
      <c r="ALF41" s="2"/>
      <c r="ALG41" s="2"/>
      <c r="ALH41" s="2"/>
      <c r="ALI41" s="2"/>
      <c r="ALJ41" s="2"/>
      <c r="ALK41" s="2"/>
      <c r="ALL41" s="2"/>
    </row>
    <row r="42" spans="1:1000" customFormat="1" ht="15" x14ac:dyDescent="0.25">
      <c r="A42" s="2">
        <f ca="1">IF(_xll.TM1RPTELISCONSOLIDATED($C$14,$C42),IF(_xll.TM1RPTELLEV($C$14,$C42)&lt;=3,_xll.TM1RPTELLEV($C$14,$C42),"D"),"N")</f>
        <v>2</v>
      </c>
      <c r="B42" s="2"/>
      <c r="C42" s="48" t="s">
        <v>143</v>
      </c>
      <c r="D42" s="28" t="str">
        <f ca="1">_xll.DBRW($C$9,$C42,D$12)</f>
        <v>10 Inch Tablets</v>
      </c>
      <c r="E42" s="28" t="str">
        <f ca="1">_xll.DBRW($C$9,$C42,E$12)</f>
        <v>10 Inch Tablets</v>
      </c>
      <c r="F42" s="55" t="str">
        <f ca="1">_xll.DBRW($C$9,$C42,F$12)</f>
        <v>Y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2"/>
      <c r="AKB42" s="2"/>
      <c r="AKC42" s="2"/>
      <c r="AKD42" s="2"/>
      <c r="AKE42" s="2"/>
      <c r="AKF42" s="2"/>
      <c r="AKG42" s="2"/>
      <c r="AKH42" s="2"/>
      <c r="AKI42" s="2"/>
      <c r="AKJ42" s="2"/>
      <c r="AKK42" s="2"/>
      <c r="AKL42" s="2"/>
      <c r="AKM42" s="2"/>
      <c r="AKN42" s="2"/>
      <c r="AKO42" s="2"/>
      <c r="AKP42" s="2"/>
      <c r="AKQ42" s="2"/>
      <c r="AKR42" s="2"/>
      <c r="AKS42" s="2"/>
      <c r="AKT42" s="2"/>
      <c r="AKU42" s="2"/>
      <c r="AKV42" s="2"/>
      <c r="AKW42" s="2"/>
      <c r="AKX42" s="2"/>
      <c r="AKY42" s="2"/>
      <c r="AKZ42" s="2"/>
      <c r="ALA42" s="2"/>
      <c r="ALB42" s="2"/>
      <c r="ALC42" s="2"/>
      <c r="ALD42" s="2"/>
      <c r="ALE42" s="2"/>
      <c r="ALF42" s="2"/>
      <c r="ALG42" s="2"/>
      <c r="ALH42" s="2"/>
      <c r="ALI42" s="2"/>
      <c r="ALJ42" s="2"/>
      <c r="ALK42" s="2"/>
      <c r="ALL42" s="2"/>
    </row>
    <row r="43" spans="1:1000" customFormat="1" ht="15" x14ac:dyDescent="0.25">
      <c r="A43" s="2" t="str">
        <f ca="1">IF(_xll.TM1RPTELISCONSOLIDATED($C$14,$C43),IF(_xll.TM1RPTELLEV($C$14,$C43)&lt;=3,_xll.TM1RPTELLEV($C$14,$C43),"D"),"N")</f>
        <v>N</v>
      </c>
      <c r="B43" s="2"/>
      <c r="C43" s="49" t="s">
        <v>144</v>
      </c>
      <c r="D43" s="8" t="str">
        <f ca="1">_xll.DBRW($C$9,$C43,D$12)</f>
        <v>10" 16 Gb</v>
      </c>
      <c r="E43" s="8" t="str">
        <f ca="1">_xll.DBRW($C$9,$C43,E$12)</f>
        <v>10" 16 Gb</v>
      </c>
      <c r="F43" s="9" t="str">
        <f ca="1">_xll.DBRW($C$9,$C43,F$12)</f>
        <v>Y</v>
      </c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2"/>
      <c r="AKB43" s="2"/>
      <c r="AKC43" s="2"/>
      <c r="AKD43" s="2"/>
      <c r="AKE43" s="2"/>
      <c r="AKF43" s="2"/>
      <c r="AKG43" s="2"/>
      <c r="AKH43" s="2"/>
      <c r="AKI43" s="2"/>
      <c r="AKJ43" s="2"/>
      <c r="AKK43" s="2"/>
      <c r="AKL43" s="2"/>
      <c r="AKM43" s="2"/>
      <c r="AKN43" s="2"/>
      <c r="AKO43" s="2"/>
      <c r="AKP43" s="2"/>
      <c r="AKQ43" s="2"/>
      <c r="AKR43" s="2"/>
      <c r="AKS43" s="2"/>
      <c r="AKT43" s="2"/>
      <c r="AKU43" s="2"/>
      <c r="AKV43" s="2"/>
      <c r="AKW43" s="2"/>
      <c r="AKX43" s="2"/>
      <c r="AKY43" s="2"/>
      <c r="AKZ43" s="2"/>
      <c r="ALA43" s="2"/>
      <c r="ALB43" s="2"/>
      <c r="ALC43" s="2"/>
      <c r="ALD43" s="2"/>
      <c r="ALE43" s="2"/>
      <c r="ALF43" s="2"/>
      <c r="ALG43" s="2"/>
      <c r="ALH43" s="2"/>
      <c r="ALI43" s="2"/>
      <c r="ALJ43" s="2"/>
      <c r="ALK43" s="2"/>
      <c r="ALL43" s="2"/>
    </row>
    <row r="44" spans="1:1000" customFormat="1" ht="15" x14ac:dyDescent="0.25">
      <c r="A44" s="2" t="str">
        <f ca="1">IF(_xll.TM1RPTELISCONSOLIDATED($C$14,$C44),IF(_xll.TM1RPTELLEV($C$14,$C44)&lt;=3,_xll.TM1RPTELLEV($C$14,$C44),"D"),"N")</f>
        <v>N</v>
      </c>
      <c r="B44" s="2"/>
      <c r="C44" s="49" t="s">
        <v>145</v>
      </c>
      <c r="D44" s="8" t="str">
        <f ca="1">_xll.DBRW($C$9,$C44,D$12)</f>
        <v>10" 32 Gb</v>
      </c>
      <c r="E44" s="8" t="str">
        <f ca="1">_xll.DBRW($C$9,$C44,E$12)</f>
        <v>10" 32 Gb</v>
      </c>
      <c r="F44" s="9" t="str">
        <f ca="1">_xll.DBRW($C$9,$C44,F$12)</f>
        <v>Y</v>
      </c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  <c r="AAA44" s="2"/>
      <c r="AAB44" s="2"/>
      <c r="AAC44" s="2"/>
      <c r="AAD44" s="2"/>
      <c r="AAE44" s="2"/>
      <c r="AAF44" s="2"/>
      <c r="AAG44" s="2"/>
      <c r="AAH44" s="2"/>
      <c r="AAI44" s="2"/>
      <c r="AAJ44" s="2"/>
      <c r="AAK44" s="2"/>
      <c r="AAL44" s="2"/>
      <c r="AAM44" s="2"/>
      <c r="AAN44" s="2"/>
      <c r="AAO44" s="2"/>
      <c r="AAP44" s="2"/>
      <c r="AAQ44" s="2"/>
      <c r="AAR44" s="2"/>
      <c r="AAS44" s="2"/>
      <c r="AAT44" s="2"/>
      <c r="AAU44" s="2"/>
      <c r="AAV44" s="2"/>
      <c r="AAW44" s="2"/>
      <c r="AAX44" s="2"/>
      <c r="AAY44" s="2"/>
      <c r="AAZ44" s="2"/>
      <c r="ABA44" s="2"/>
      <c r="ABB44" s="2"/>
      <c r="ABC44" s="2"/>
      <c r="ABD44" s="2"/>
      <c r="ABE44" s="2"/>
      <c r="ABF44" s="2"/>
      <c r="ABG44" s="2"/>
      <c r="ABH44" s="2"/>
      <c r="ABI44" s="2"/>
      <c r="ABJ44" s="2"/>
      <c r="ABK44" s="2"/>
      <c r="ABL44" s="2"/>
      <c r="ABM44" s="2"/>
      <c r="ABN44" s="2"/>
      <c r="ABO44" s="2"/>
      <c r="ABP44" s="2"/>
      <c r="ABQ44" s="2"/>
      <c r="ABR44" s="2"/>
      <c r="ABS44" s="2"/>
      <c r="ABT44" s="2"/>
      <c r="ABU44" s="2"/>
      <c r="ABV44" s="2"/>
      <c r="ABW44" s="2"/>
      <c r="ABX44" s="2"/>
      <c r="ABY44" s="2"/>
      <c r="ABZ44" s="2"/>
      <c r="ACA44" s="2"/>
      <c r="ACB44" s="2"/>
      <c r="ACC44" s="2"/>
      <c r="ACD44" s="2"/>
      <c r="ACE44" s="2"/>
      <c r="ACF44" s="2"/>
      <c r="ACG44" s="2"/>
      <c r="ACH44" s="2"/>
      <c r="ACI44" s="2"/>
      <c r="ACJ44" s="2"/>
      <c r="ACK44" s="2"/>
      <c r="ACL44" s="2"/>
      <c r="ACM44" s="2"/>
      <c r="ACN44" s="2"/>
      <c r="ACO44" s="2"/>
      <c r="ACP44" s="2"/>
      <c r="ACQ44" s="2"/>
      <c r="ACR44" s="2"/>
      <c r="ACS44" s="2"/>
      <c r="ACT44" s="2"/>
      <c r="ACU44" s="2"/>
      <c r="ACV44" s="2"/>
      <c r="ACW44" s="2"/>
      <c r="ACX44" s="2"/>
      <c r="ACY44" s="2"/>
      <c r="ACZ44" s="2"/>
      <c r="ADA44" s="2"/>
      <c r="ADB44" s="2"/>
      <c r="ADC44" s="2"/>
      <c r="ADD44" s="2"/>
      <c r="ADE44" s="2"/>
      <c r="ADF44" s="2"/>
      <c r="ADG44" s="2"/>
      <c r="ADH44" s="2"/>
      <c r="ADI44" s="2"/>
      <c r="ADJ44" s="2"/>
      <c r="ADK44" s="2"/>
      <c r="ADL44" s="2"/>
      <c r="ADM44" s="2"/>
      <c r="ADN44" s="2"/>
      <c r="ADO44" s="2"/>
      <c r="ADP44" s="2"/>
      <c r="ADQ44" s="2"/>
      <c r="ADR44" s="2"/>
      <c r="ADS44" s="2"/>
      <c r="ADT44" s="2"/>
      <c r="ADU44" s="2"/>
      <c r="ADV44" s="2"/>
      <c r="ADW44" s="2"/>
      <c r="ADX44" s="2"/>
      <c r="ADY44" s="2"/>
      <c r="ADZ44" s="2"/>
      <c r="AEA44" s="2"/>
      <c r="AEB44" s="2"/>
      <c r="AEC44" s="2"/>
      <c r="AED44" s="2"/>
      <c r="AEE44" s="2"/>
      <c r="AEF44" s="2"/>
      <c r="AEG44" s="2"/>
      <c r="AEH44" s="2"/>
      <c r="AEI44" s="2"/>
      <c r="AEJ44" s="2"/>
      <c r="AEK44" s="2"/>
      <c r="AEL44" s="2"/>
      <c r="AEM44" s="2"/>
      <c r="AEN44" s="2"/>
      <c r="AEO44" s="2"/>
      <c r="AEP44" s="2"/>
      <c r="AEQ44" s="2"/>
      <c r="AER44" s="2"/>
      <c r="AES44" s="2"/>
      <c r="AET44" s="2"/>
      <c r="AEU44" s="2"/>
      <c r="AEV44" s="2"/>
      <c r="AEW44" s="2"/>
      <c r="AEX44" s="2"/>
      <c r="AEY44" s="2"/>
      <c r="AEZ44" s="2"/>
      <c r="AFA44" s="2"/>
      <c r="AFB44" s="2"/>
      <c r="AFC44" s="2"/>
      <c r="AFD44" s="2"/>
      <c r="AFE44" s="2"/>
      <c r="AFF44" s="2"/>
      <c r="AFG44" s="2"/>
      <c r="AFH44" s="2"/>
      <c r="AFI44" s="2"/>
      <c r="AFJ44" s="2"/>
      <c r="AFK44" s="2"/>
      <c r="AFL44" s="2"/>
      <c r="AFM44" s="2"/>
      <c r="AFN44" s="2"/>
      <c r="AFO44" s="2"/>
      <c r="AFP44" s="2"/>
      <c r="AFQ44" s="2"/>
      <c r="AFR44" s="2"/>
      <c r="AFS44" s="2"/>
      <c r="AFT44" s="2"/>
      <c r="AFU44" s="2"/>
      <c r="AFV44" s="2"/>
      <c r="AFW44" s="2"/>
      <c r="AFX44" s="2"/>
      <c r="AFY44" s="2"/>
      <c r="AFZ44" s="2"/>
      <c r="AGA44" s="2"/>
      <c r="AGB44" s="2"/>
      <c r="AGC44" s="2"/>
      <c r="AGD44" s="2"/>
      <c r="AGE44" s="2"/>
      <c r="AGF44" s="2"/>
      <c r="AGG44" s="2"/>
      <c r="AGH44" s="2"/>
      <c r="AGI44" s="2"/>
      <c r="AGJ44" s="2"/>
      <c r="AGK44" s="2"/>
      <c r="AGL44" s="2"/>
      <c r="AGM44" s="2"/>
      <c r="AGN44" s="2"/>
      <c r="AGO44" s="2"/>
      <c r="AGP44" s="2"/>
      <c r="AGQ44" s="2"/>
      <c r="AGR44" s="2"/>
      <c r="AGS44" s="2"/>
      <c r="AGT44" s="2"/>
      <c r="AGU44" s="2"/>
      <c r="AGV44" s="2"/>
      <c r="AGW44" s="2"/>
      <c r="AGX44" s="2"/>
      <c r="AGY44" s="2"/>
      <c r="AGZ44" s="2"/>
      <c r="AHA44" s="2"/>
      <c r="AHB44" s="2"/>
      <c r="AHC44" s="2"/>
      <c r="AHD44" s="2"/>
      <c r="AHE44" s="2"/>
      <c r="AHF44" s="2"/>
      <c r="AHG44" s="2"/>
      <c r="AHH44" s="2"/>
      <c r="AHI44" s="2"/>
      <c r="AHJ44" s="2"/>
      <c r="AHK44" s="2"/>
      <c r="AHL44" s="2"/>
      <c r="AHM44" s="2"/>
      <c r="AHN44" s="2"/>
      <c r="AHO44" s="2"/>
      <c r="AHP44" s="2"/>
      <c r="AHQ44" s="2"/>
      <c r="AHR44" s="2"/>
      <c r="AHS44" s="2"/>
      <c r="AHT44" s="2"/>
      <c r="AHU44" s="2"/>
      <c r="AHV44" s="2"/>
      <c r="AHW44" s="2"/>
      <c r="AHX44" s="2"/>
      <c r="AHY44" s="2"/>
      <c r="AHZ44" s="2"/>
      <c r="AIA44" s="2"/>
      <c r="AIB44" s="2"/>
      <c r="AIC44" s="2"/>
      <c r="AID44" s="2"/>
      <c r="AIE44" s="2"/>
      <c r="AIF44" s="2"/>
      <c r="AIG44" s="2"/>
      <c r="AIH44" s="2"/>
      <c r="AII44" s="2"/>
      <c r="AIJ44" s="2"/>
      <c r="AIK44" s="2"/>
      <c r="AIL44" s="2"/>
      <c r="AIM44" s="2"/>
      <c r="AIN44" s="2"/>
      <c r="AIO44" s="2"/>
      <c r="AIP44" s="2"/>
      <c r="AIQ44" s="2"/>
      <c r="AIR44" s="2"/>
      <c r="AIS44" s="2"/>
      <c r="AIT44" s="2"/>
      <c r="AIU44" s="2"/>
      <c r="AIV44" s="2"/>
      <c r="AIW44" s="2"/>
      <c r="AIX44" s="2"/>
      <c r="AIY44" s="2"/>
      <c r="AIZ44" s="2"/>
      <c r="AJA44" s="2"/>
      <c r="AJB44" s="2"/>
      <c r="AJC44" s="2"/>
      <c r="AJD44" s="2"/>
      <c r="AJE44" s="2"/>
      <c r="AJF44" s="2"/>
      <c r="AJG44" s="2"/>
      <c r="AJH44" s="2"/>
      <c r="AJI44" s="2"/>
      <c r="AJJ44" s="2"/>
      <c r="AJK44" s="2"/>
      <c r="AJL44" s="2"/>
      <c r="AJM44" s="2"/>
      <c r="AJN44" s="2"/>
      <c r="AJO44" s="2"/>
      <c r="AJP44" s="2"/>
      <c r="AJQ44" s="2"/>
      <c r="AJR44" s="2"/>
      <c r="AJS44" s="2"/>
      <c r="AJT44" s="2"/>
      <c r="AJU44" s="2"/>
      <c r="AJV44" s="2"/>
      <c r="AJW44" s="2"/>
      <c r="AJX44" s="2"/>
      <c r="AJY44" s="2"/>
      <c r="AJZ44" s="2"/>
      <c r="AKA44" s="2"/>
      <c r="AKB44" s="2"/>
      <c r="AKC44" s="2"/>
      <c r="AKD44" s="2"/>
      <c r="AKE44" s="2"/>
      <c r="AKF44" s="2"/>
      <c r="AKG44" s="2"/>
      <c r="AKH44" s="2"/>
      <c r="AKI44" s="2"/>
      <c r="AKJ44" s="2"/>
      <c r="AKK44" s="2"/>
      <c r="AKL44" s="2"/>
      <c r="AKM44" s="2"/>
      <c r="AKN44" s="2"/>
      <c r="AKO44" s="2"/>
      <c r="AKP44" s="2"/>
      <c r="AKQ44" s="2"/>
      <c r="AKR44" s="2"/>
      <c r="AKS44" s="2"/>
      <c r="AKT44" s="2"/>
      <c r="AKU44" s="2"/>
      <c r="AKV44" s="2"/>
      <c r="AKW44" s="2"/>
      <c r="AKX44" s="2"/>
      <c r="AKY44" s="2"/>
      <c r="AKZ44" s="2"/>
      <c r="ALA44" s="2"/>
      <c r="ALB44" s="2"/>
      <c r="ALC44" s="2"/>
      <c r="ALD44" s="2"/>
      <c r="ALE44" s="2"/>
      <c r="ALF44" s="2"/>
      <c r="ALG44" s="2"/>
      <c r="ALH44" s="2"/>
      <c r="ALI44" s="2"/>
      <c r="ALJ44" s="2"/>
      <c r="ALK44" s="2"/>
      <c r="ALL44" s="2"/>
    </row>
    <row r="45" spans="1:1000" customFormat="1" ht="15" x14ac:dyDescent="0.25">
      <c r="A45" s="2" t="str">
        <f ca="1">IF(_xll.TM1RPTELISCONSOLIDATED($C$14,$C45),IF(_xll.TM1RPTELLEV($C$14,$C45)&lt;=3,_xll.TM1RPTELLEV($C$14,$C45),"D"),"N")</f>
        <v>N</v>
      </c>
      <c r="B45" s="2"/>
      <c r="C45" s="49" t="s">
        <v>146</v>
      </c>
      <c r="D45" s="8" t="str">
        <f ca="1">_xll.DBRW($C$9,$C45,D$12)</f>
        <v>10" 64 Gb</v>
      </c>
      <c r="E45" s="8" t="str">
        <f ca="1">_xll.DBRW($C$9,$C45,E$12)</f>
        <v>10" 64 Gb</v>
      </c>
      <c r="F45" s="9" t="str">
        <f ca="1">_xll.DBRW($C$9,$C45,F$12)</f>
        <v>Y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  <c r="AAA45" s="2"/>
      <c r="AAB45" s="2"/>
      <c r="AAC45" s="2"/>
      <c r="AAD45" s="2"/>
      <c r="AAE45" s="2"/>
      <c r="AAF45" s="2"/>
      <c r="AAG45" s="2"/>
      <c r="AAH45" s="2"/>
      <c r="AAI45" s="2"/>
      <c r="AAJ45" s="2"/>
      <c r="AAK45" s="2"/>
      <c r="AAL45" s="2"/>
      <c r="AAM45" s="2"/>
      <c r="AAN45" s="2"/>
      <c r="AAO45" s="2"/>
      <c r="AAP45" s="2"/>
      <c r="AAQ45" s="2"/>
      <c r="AAR45" s="2"/>
      <c r="AAS45" s="2"/>
      <c r="AAT45" s="2"/>
      <c r="AAU45" s="2"/>
      <c r="AAV45" s="2"/>
      <c r="AAW45" s="2"/>
      <c r="AAX45" s="2"/>
      <c r="AAY45" s="2"/>
      <c r="AAZ45" s="2"/>
      <c r="ABA45" s="2"/>
      <c r="ABB45" s="2"/>
      <c r="ABC45" s="2"/>
      <c r="ABD45" s="2"/>
      <c r="ABE45" s="2"/>
      <c r="ABF45" s="2"/>
      <c r="ABG45" s="2"/>
      <c r="ABH45" s="2"/>
      <c r="ABI45" s="2"/>
      <c r="ABJ45" s="2"/>
      <c r="ABK45" s="2"/>
      <c r="ABL45" s="2"/>
      <c r="ABM45" s="2"/>
      <c r="ABN45" s="2"/>
      <c r="ABO45" s="2"/>
      <c r="ABP45" s="2"/>
      <c r="ABQ45" s="2"/>
      <c r="ABR45" s="2"/>
      <c r="ABS45" s="2"/>
      <c r="ABT45" s="2"/>
      <c r="ABU45" s="2"/>
      <c r="ABV45" s="2"/>
      <c r="ABW45" s="2"/>
      <c r="ABX45" s="2"/>
      <c r="ABY45" s="2"/>
      <c r="ABZ45" s="2"/>
      <c r="ACA45" s="2"/>
      <c r="ACB45" s="2"/>
      <c r="ACC45" s="2"/>
      <c r="ACD45" s="2"/>
      <c r="ACE45" s="2"/>
      <c r="ACF45" s="2"/>
      <c r="ACG45" s="2"/>
      <c r="ACH45" s="2"/>
      <c r="ACI45" s="2"/>
      <c r="ACJ45" s="2"/>
      <c r="ACK45" s="2"/>
      <c r="ACL45" s="2"/>
      <c r="ACM45" s="2"/>
      <c r="ACN45" s="2"/>
      <c r="ACO45" s="2"/>
      <c r="ACP45" s="2"/>
      <c r="ACQ45" s="2"/>
      <c r="ACR45" s="2"/>
      <c r="ACS45" s="2"/>
      <c r="ACT45" s="2"/>
      <c r="ACU45" s="2"/>
      <c r="ACV45" s="2"/>
      <c r="ACW45" s="2"/>
      <c r="ACX45" s="2"/>
      <c r="ACY45" s="2"/>
      <c r="ACZ45" s="2"/>
      <c r="ADA45" s="2"/>
      <c r="ADB45" s="2"/>
      <c r="ADC45" s="2"/>
      <c r="ADD45" s="2"/>
      <c r="ADE45" s="2"/>
      <c r="ADF45" s="2"/>
      <c r="ADG45" s="2"/>
      <c r="ADH45" s="2"/>
      <c r="ADI45" s="2"/>
      <c r="ADJ45" s="2"/>
      <c r="ADK45" s="2"/>
      <c r="ADL45" s="2"/>
      <c r="ADM45" s="2"/>
      <c r="ADN45" s="2"/>
      <c r="ADO45" s="2"/>
      <c r="ADP45" s="2"/>
      <c r="ADQ45" s="2"/>
      <c r="ADR45" s="2"/>
      <c r="ADS45" s="2"/>
      <c r="ADT45" s="2"/>
      <c r="ADU45" s="2"/>
      <c r="ADV45" s="2"/>
      <c r="ADW45" s="2"/>
      <c r="ADX45" s="2"/>
      <c r="ADY45" s="2"/>
      <c r="ADZ45" s="2"/>
      <c r="AEA45" s="2"/>
      <c r="AEB45" s="2"/>
      <c r="AEC45" s="2"/>
      <c r="AED45" s="2"/>
      <c r="AEE45" s="2"/>
      <c r="AEF45" s="2"/>
      <c r="AEG45" s="2"/>
      <c r="AEH45" s="2"/>
      <c r="AEI45" s="2"/>
      <c r="AEJ45" s="2"/>
      <c r="AEK45" s="2"/>
      <c r="AEL45" s="2"/>
      <c r="AEM45" s="2"/>
      <c r="AEN45" s="2"/>
      <c r="AEO45" s="2"/>
      <c r="AEP45" s="2"/>
      <c r="AEQ45" s="2"/>
      <c r="AER45" s="2"/>
      <c r="AES45" s="2"/>
      <c r="AET45" s="2"/>
      <c r="AEU45" s="2"/>
      <c r="AEV45" s="2"/>
      <c r="AEW45" s="2"/>
      <c r="AEX45" s="2"/>
      <c r="AEY45" s="2"/>
      <c r="AEZ45" s="2"/>
      <c r="AFA45" s="2"/>
      <c r="AFB45" s="2"/>
      <c r="AFC45" s="2"/>
      <c r="AFD45" s="2"/>
      <c r="AFE45" s="2"/>
      <c r="AFF45" s="2"/>
      <c r="AFG45" s="2"/>
      <c r="AFH45" s="2"/>
      <c r="AFI45" s="2"/>
      <c r="AFJ45" s="2"/>
      <c r="AFK45" s="2"/>
      <c r="AFL45" s="2"/>
      <c r="AFM45" s="2"/>
      <c r="AFN45" s="2"/>
      <c r="AFO45" s="2"/>
      <c r="AFP45" s="2"/>
      <c r="AFQ45" s="2"/>
      <c r="AFR45" s="2"/>
      <c r="AFS45" s="2"/>
      <c r="AFT45" s="2"/>
      <c r="AFU45" s="2"/>
      <c r="AFV45" s="2"/>
      <c r="AFW45" s="2"/>
      <c r="AFX45" s="2"/>
      <c r="AFY45" s="2"/>
      <c r="AFZ45" s="2"/>
      <c r="AGA45" s="2"/>
      <c r="AGB45" s="2"/>
      <c r="AGC45" s="2"/>
      <c r="AGD45" s="2"/>
      <c r="AGE45" s="2"/>
      <c r="AGF45" s="2"/>
      <c r="AGG45" s="2"/>
      <c r="AGH45" s="2"/>
      <c r="AGI45" s="2"/>
      <c r="AGJ45" s="2"/>
      <c r="AGK45" s="2"/>
      <c r="AGL45" s="2"/>
      <c r="AGM45" s="2"/>
      <c r="AGN45" s="2"/>
      <c r="AGO45" s="2"/>
      <c r="AGP45" s="2"/>
      <c r="AGQ45" s="2"/>
      <c r="AGR45" s="2"/>
      <c r="AGS45" s="2"/>
      <c r="AGT45" s="2"/>
      <c r="AGU45" s="2"/>
      <c r="AGV45" s="2"/>
      <c r="AGW45" s="2"/>
      <c r="AGX45" s="2"/>
      <c r="AGY45" s="2"/>
      <c r="AGZ45" s="2"/>
      <c r="AHA45" s="2"/>
      <c r="AHB45" s="2"/>
      <c r="AHC45" s="2"/>
      <c r="AHD45" s="2"/>
      <c r="AHE45" s="2"/>
      <c r="AHF45" s="2"/>
      <c r="AHG45" s="2"/>
      <c r="AHH45" s="2"/>
      <c r="AHI45" s="2"/>
      <c r="AHJ45" s="2"/>
      <c r="AHK45" s="2"/>
      <c r="AHL45" s="2"/>
      <c r="AHM45" s="2"/>
      <c r="AHN45" s="2"/>
      <c r="AHO45" s="2"/>
      <c r="AHP45" s="2"/>
      <c r="AHQ45" s="2"/>
      <c r="AHR45" s="2"/>
      <c r="AHS45" s="2"/>
      <c r="AHT45" s="2"/>
      <c r="AHU45" s="2"/>
      <c r="AHV45" s="2"/>
      <c r="AHW45" s="2"/>
      <c r="AHX45" s="2"/>
      <c r="AHY45" s="2"/>
      <c r="AHZ45" s="2"/>
      <c r="AIA45" s="2"/>
      <c r="AIB45" s="2"/>
      <c r="AIC45" s="2"/>
      <c r="AID45" s="2"/>
      <c r="AIE45" s="2"/>
      <c r="AIF45" s="2"/>
      <c r="AIG45" s="2"/>
      <c r="AIH45" s="2"/>
      <c r="AII45" s="2"/>
      <c r="AIJ45" s="2"/>
      <c r="AIK45" s="2"/>
      <c r="AIL45" s="2"/>
      <c r="AIM45" s="2"/>
      <c r="AIN45" s="2"/>
      <c r="AIO45" s="2"/>
      <c r="AIP45" s="2"/>
      <c r="AIQ45" s="2"/>
      <c r="AIR45" s="2"/>
      <c r="AIS45" s="2"/>
      <c r="AIT45" s="2"/>
      <c r="AIU45" s="2"/>
      <c r="AIV45" s="2"/>
      <c r="AIW45" s="2"/>
      <c r="AIX45" s="2"/>
      <c r="AIY45" s="2"/>
      <c r="AIZ45" s="2"/>
      <c r="AJA45" s="2"/>
      <c r="AJB45" s="2"/>
      <c r="AJC45" s="2"/>
      <c r="AJD45" s="2"/>
      <c r="AJE45" s="2"/>
      <c r="AJF45" s="2"/>
      <c r="AJG45" s="2"/>
      <c r="AJH45" s="2"/>
      <c r="AJI45" s="2"/>
      <c r="AJJ45" s="2"/>
      <c r="AJK45" s="2"/>
      <c r="AJL45" s="2"/>
      <c r="AJM45" s="2"/>
      <c r="AJN45" s="2"/>
      <c r="AJO45" s="2"/>
      <c r="AJP45" s="2"/>
      <c r="AJQ45" s="2"/>
      <c r="AJR45" s="2"/>
      <c r="AJS45" s="2"/>
      <c r="AJT45" s="2"/>
      <c r="AJU45" s="2"/>
      <c r="AJV45" s="2"/>
      <c r="AJW45" s="2"/>
      <c r="AJX45" s="2"/>
      <c r="AJY45" s="2"/>
      <c r="AJZ45" s="2"/>
      <c r="AKA45" s="2"/>
      <c r="AKB45" s="2"/>
      <c r="AKC45" s="2"/>
      <c r="AKD45" s="2"/>
      <c r="AKE45" s="2"/>
      <c r="AKF45" s="2"/>
      <c r="AKG45" s="2"/>
      <c r="AKH45" s="2"/>
      <c r="AKI45" s="2"/>
      <c r="AKJ45" s="2"/>
      <c r="AKK45" s="2"/>
      <c r="AKL45" s="2"/>
      <c r="AKM45" s="2"/>
      <c r="AKN45" s="2"/>
      <c r="AKO45" s="2"/>
      <c r="AKP45" s="2"/>
      <c r="AKQ45" s="2"/>
      <c r="AKR45" s="2"/>
      <c r="AKS45" s="2"/>
      <c r="AKT45" s="2"/>
      <c r="AKU45" s="2"/>
      <c r="AKV45" s="2"/>
      <c r="AKW45" s="2"/>
      <c r="AKX45" s="2"/>
      <c r="AKY45" s="2"/>
      <c r="AKZ45" s="2"/>
      <c r="ALA45" s="2"/>
      <c r="ALB45" s="2"/>
      <c r="ALC45" s="2"/>
      <c r="ALD45" s="2"/>
      <c r="ALE45" s="2"/>
      <c r="ALF45" s="2"/>
      <c r="ALG45" s="2"/>
      <c r="ALH45" s="2"/>
      <c r="ALI45" s="2"/>
      <c r="ALJ45" s="2"/>
      <c r="ALK45" s="2"/>
      <c r="ALL45" s="2"/>
    </row>
    <row r="46" spans="1:1000" customFormat="1" ht="15" x14ac:dyDescent="0.25">
      <c r="A46" s="2">
        <f ca="1">IF(_xll.TM1RPTELISCONSOLIDATED($C$14,$C46),IF(_xll.TM1RPTELLEV($C$14,$C46)&lt;=3,_xll.TM1RPTELLEV($C$14,$C46),"D"),"N")</f>
        <v>2</v>
      </c>
      <c r="B46" s="2"/>
      <c r="C46" s="48" t="s">
        <v>147</v>
      </c>
      <c r="D46" s="28" t="str">
        <f ca="1">_xll.DBRW($C$9,$C46,D$12)</f>
        <v>8 Inch Tablets</v>
      </c>
      <c r="E46" s="28" t="str">
        <f ca="1">_xll.DBRW($C$9,$C46,E$12)</f>
        <v>8 Inch Tablets</v>
      </c>
      <c r="F46" s="55" t="str">
        <f ca="1">_xll.DBRW($C$9,$C46,F$12)</f>
        <v>Y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  <c r="AAA46" s="2"/>
      <c r="AAB46" s="2"/>
      <c r="AAC46" s="2"/>
      <c r="AAD46" s="2"/>
      <c r="AAE46" s="2"/>
      <c r="AAF46" s="2"/>
      <c r="AAG46" s="2"/>
      <c r="AAH46" s="2"/>
      <c r="AAI46" s="2"/>
      <c r="AAJ46" s="2"/>
      <c r="AAK46" s="2"/>
      <c r="AAL46" s="2"/>
      <c r="AAM46" s="2"/>
      <c r="AAN46" s="2"/>
      <c r="AAO46" s="2"/>
      <c r="AAP46" s="2"/>
      <c r="AAQ46" s="2"/>
      <c r="AAR46" s="2"/>
      <c r="AAS46" s="2"/>
      <c r="AAT46" s="2"/>
      <c r="AAU46" s="2"/>
      <c r="AAV46" s="2"/>
      <c r="AAW46" s="2"/>
      <c r="AAX46" s="2"/>
      <c r="AAY46" s="2"/>
      <c r="AAZ46" s="2"/>
      <c r="ABA46" s="2"/>
      <c r="ABB46" s="2"/>
      <c r="ABC46" s="2"/>
      <c r="ABD46" s="2"/>
      <c r="ABE46" s="2"/>
      <c r="ABF46" s="2"/>
      <c r="ABG46" s="2"/>
      <c r="ABH46" s="2"/>
      <c r="ABI46" s="2"/>
      <c r="ABJ46" s="2"/>
      <c r="ABK46" s="2"/>
      <c r="ABL46" s="2"/>
      <c r="ABM46" s="2"/>
      <c r="ABN46" s="2"/>
      <c r="ABO46" s="2"/>
      <c r="ABP46" s="2"/>
      <c r="ABQ46" s="2"/>
      <c r="ABR46" s="2"/>
      <c r="ABS46" s="2"/>
      <c r="ABT46" s="2"/>
      <c r="ABU46" s="2"/>
      <c r="ABV46" s="2"/>
      <c r="ABW46" s="2"/>
      <c r="ABX46" s="2"/>
      <c r="ABY46" s="2"/>
      <c r="ABZ46" s="2"/>
      <c r="ACA46" s="2"/>
      <c r="ACB46" s="2"/>
      <c r="ACC46" s="2"/>
      <c r="ACD46" s="2"/>
      <c r="ACE46" s="2"/>
      <c r="ACF46" s="2"/>
      <c r="ACG46" s="2"/>
      <c r="ACH46" s="2"/>
      <c r="ACI46" s="2"/>
      <c r="ACJ46" s="2"/>
      <c r="ACK46" s="2"/>
      <c r="ACL46" s="2"/>
      <c r="ACM46" s="2"/>
      <c r="ACN46" s="2"/>
      <c r="ACO46" s="2"/>
      <c r="ACP46" s="2"/>
      <c r="ACQ46" s="2"/>
      <c r="ACR46" s="2"/>
      <c r="ACS46" s="2"/>
      <c r="ACT46" s="2"/>
      <c r="ACU46" s="2"/>
      <c r="ACV46" s="2"/>
      <c r="ACW46" s="2"/>
      <c r="ACX46" s="2"/>
      <c r="ACY46" s="2"/>
      <c r="ACZ46" s="2"/>
      <c r="ADA46" s="2"/>
      <c r="ADB46" s="2"/>
      <c r="ADC46" s="2"/>
      <c r="ADD46" s="2"/>
      <c r="ADE46" s="2"/>
      <c r="ADF46" s="2"/>
      <c r="ADG46" s="2"/>
      <c r="ADH46" s="2"/>
      <c r="ADI46" s="2"/>
      <c r="ADJ46" s="2"/>
      <c r="ADK46" s="2"/>
      <c r="ADL46" s="2"/>
      <c r="ADM46" s="2"/>
      <c r="ADN46" s="2"/>
      <c r="ADO46" s="2"/>
      <c r="ADP46" s="2"/>
      <c r="ADQ46" s="2"/>
      <c r="ADR46" s="2"/>
      <c r="ADS46" s="2"/>
      <c r="ADT46" s="2"/>
      <c r="ADU46" s="2"/>
      <c r="ADV46" s="2"/>
      <c r="ADW46" s="2"/>
      <c r="ADX46" s="2"/>
      <c r="ADY46" s="2"/>
      <c r="ADZ46" s="2"/>
      <c r="AEA46" s="2"/>
      <c r="AEB46" s="2"/>
      <c r="AEC46" s="2"/>
      <c r="AED46" s="2"/>
      <c r="AEE46" s="2"/>
      <c r="AEF46" s="2"/>
      <c r="AEG46" s="2"/>
      <c r="AEH46" s="2"/>
      <c r="AEI46" s="2"/>
      <c r="AEJ46" s="2"/>
      <c r="AEK46" s="2"/>
      <c r="AEL46" s="2"/>
      <c r="AEM46" s="2"/>
      <c r="AEN46" s="2"/>
      <c r="AEO46" s="2"/>
      <c r="AEP46" s="2"/>
      <c r="AEQ46" s="2"/>
      <c r="AER46" s="2"/>
      <c r="AES46" s="2"/>
      <c r="AET46" s="2"/>
      <c r="AEU46" s="2"/>
      <c r="AEV46" s="2"/>
      <c r="AEW46" s="2"/>
      <c r="AEX46" s="2"/>
      <c r="AEY46" s="2"/>
      <c r="AEZ46" s="2"/>
      <c r="AFA46" s="2"/>
      <c r="AFB46" s="2"/>
      <c r="AFC46" s="2"/>
      <c r="AFD46" s="2"/>
      <c r="AFE46" s="2"/>
      <c r="AFF46" s="2"/>
      <c r="AFG46" s="2"/>
      <c r="AFH46" s="2"/>
      <c r="AFI46" s="2"/>
      <c r="AFJ46" s="2"/>
      <c r="AFK46" s="2"/>
      <c r="AFL46" s="2"/>
      <c r="AFM46" s="2"/>
      <c r="AFN46" s="2"/>
      <c r="AFO46" s="2"/>
      <c r="AFP46" s="2"/>
      <c r="AFQ46" s="2"/>
      <c r="AFR46" s="2"/>
      <c r="AFS46" s="2"/>
      <c r="AFT46" s="2"/>
      <c r="AFU46" s="2"/>
      <c r="AFV46" s="2"/>
      <c r="AFW46" s="2"/>
      <c r="AFX46" s="2"/>
      <c r="AFY46" s="2"/>
      <c r="AFZ46" s="2"/>
      <c r="AGA46" s="2"/>
      <c r="AGB46" s="2"/>
      <c r="AGC46" s="2"/>
      <c r="AGD46" s="2"/>
      <c r="AGE46" s="2"/>
      <c r="AGF46" s="2"/>
      <c r="AGG46" s="2"/>
      <c r="AGH46" s="2"/>
      <c r="AGI46" s="2"/>
      <c r="AGJ46" s="2"/>
      <c r="AGK46" s="2"/>
      <c r="AGL46" s="2"/>
      <c r="AGM46" s="2"/>
      <c r="AGN46" s="2"/>
      <c r="AGO46" s="2"/>
      <c r="AGP46" s="2"/>
      <c r="AGQ46" s="2"/>
      <c r="AGR46" s="2"/>
      <c r="AGS46" s="2"/>
      <c r="AGT46" s="2"/>
      <c r="AGU46" s="2"/>
      <c r="AGV46" s="2"/>
      <c r="AGW46" s="2"/>
      <c r="AGX46" s="2"/>
      <c r="AGY46" s="2"/>
      <c r="AGZ46" s="2"/>
      <c r="AHA46" s="2"/>
      <c r="AHB46" s="2"/>
      <c r="AHC46" s="2"/>
      <c r="AHD46" s="2"/>
      <c r="AHE46" s="2"/>
      <c r="AHF46" s="2"/>
      <c r="AHG46" s="2"/>
      <c r="AHH46" s="2"/>
      <c r="AHI46" s="2"/>
      <c r="AHJ46" s="2"/>
      <c r="AHK46" s="2"/>
      <c r="AHL46" s="2"/>
      <c r="AHM46" s="2"/>
      <c r="AHN46" s="2"/>
      <c r="AHO46" s="2"/>
      <c r="AHP46" s="2"/>
      <c r="AHQ46" s="2"/>
      <c r="AHR46" s="2"/>
      <c r="AHS46" s="2"/>
      <c r="AHT46" s="2"/>
      <c r="AHU46" s="2"/>
      <c r="AHV46" s="2"/>
      <c r="AHW46" s="2"/>
      <c r="AHX46" s="2"/>
      <c r="AHY46" s="2"/>
      <c r="AHZ46" s="2"/>
      <c r="AIA46" s="2"/>
      <c r="AIB46" s="2"/>
      <c r="AIC46" s="2"/>
      <c r="AID46" s="2"/>
      <c r="AIE46" s="2"/>
      <c r="AIF46" s="2"/>
      <c r="AIG46" s="2"/>
      <c r="AIH46" s="2"/>
      <c r="AII46" s="2"/>
      <c r="AIJ46" s="2"/>
      <c r="AIK46" s="2"/>
      <c r="AIL46" s="2"/>
      <c r="AIM46" s="2"/>
      <c r="AIN46" s="2"/>
      <c r="AIO46" s="2"/>
      <c r="AIP46" s="2"/>
      <c r="AIQ46" s="2"/>
      <c r="AIR46" s="2"/>
      <c r="AIS46" s="2"/>
      <c r="AIT46" s="2"/>
      <c r="AIU46" s="2"/>
      <c r="AIV46" s="2"/>
      <c r="AIW46" s="2"/>
      <c r="AIX46" s="2"/>
      <c r="AIY46" s="2"/>
      <c r="AIZ46" s="2"/>
      <c r="AJA46" s="2"/>
      <c r="AJB46" s="2"/>
      <c r="AJC46" s="2"/>
      <c r="AJD46" s="2"/>
      <c r="AJE46" s="2"/>
      <c r="AJF46" s="2"/>
      <c r="AJG46" s="2"/>
      <c r="AJH46" s="2"/>
      <c r="AJI46" s="2"/>
      <c r="AJJ46" s="2"/>
      <c r="AJK46" s="2"/>
      <c r="AJL46" s="2"/>
      <c r="AJM46" s="2"/>
      <c r="AJN46" s="2"/>
      <c r="AJO46" s="2"/>
      <c r="AJP46" s="2"/>
      <c r="AJQ46" s="2"/>
      <c r="AJR46" s="2"/>
      <c r="AJS46" s="2"/>
      <c r="AJT46" s="2"/>
      <c r="AJU46" s="2"/>
      <c r="AJV46" s="2"/>
      <c r="AJW46" s="2"/>
      <c r="AJX46" s="2"/>
      <c r="AJY46" s="2"/>
      <c r="AJZ46" s="2"/>
      <c r="AKA46" s="2"/>
      <c r="AKB46" s="2"/>
      <c r="AKC46" s="2"/>
      <c r="AKD46" s="2"/>
      <c r="AKE46" s="2"/>
      <c r="AKF46" s="2"/>
      <c r="AKG46" s="2"/>
      <c r="AKH46" s="2"/>
      <c r="AKI46" s="2"/>
      <c r="AKJ46" s="2"/>
      <c r="AKK46" s="2"/>
      <c r="AKL46" s="2"/>
      <c r="AKM46" s="2"/>
      <c r="AKN46" s="2"/>
      <c r="AKO46" s="2"/>
      <c r="AKP46" s="2"/>
      <c r="AKQ46" s="2"/>
      <c r="AKR46" s="2"/>
      <c r="AKS46" s="2"/>
      <c r="AKT46" s="2"/>
      <c r="AKU46" s="2"/>
      <c r="AKV46" s="2"/>
      <c r="AKW46" s="2"/>
      <c r="AKX46" s="2"/>
      <c r="AKY46" s="2"/>
      <c r="AKZ46" s="2"/>
      <c r="ALA46" s="2"/>
      <c r="ALB46" s="2"/>
      <c r="ALC46" s="2"/>
      <c r="ALD46" s="2"/>
      <c r="ALE46" s="2"/>
      <c r="ALF46" s="2"/>
      <c r="ALG46" s="2"/>
      <c r="ALH46" s="2"/>
      <c r="ALI46" s="2"/>
      <c r="ALJ46" s="2"/>
      <c r="ALK46" s="2"/>
      <c r="ALL46" s="2"/>
    </row>
    <row r="47" spans="1:1000" customFormat="1" ht="15" x14ac:dyDescent="0.25">
      <c r="A47" s="2" t="str">
        <f ca="1">IF(_xll.TM1RPTELISCONSOLIDATED($C$14,$C47),IF(_xll.TM1RPTELLEV($C$14,$C47)&lt;=3,_xll.TM1RPTELLEV($C$14,$C47),"D"),"N")</f>
        <v>N</v>
      </c>
      <c r="B47" s="2"/>
      <c r="C47" s="49" t="s">
        <v>148</v>
      </c>
      <c r="D47" s="8" t="str">
        <f ca="1">_xll.DBRW($C$9,$C47,D$12)</f>
        <v>8" 16 Gb</v>
      </c>
      <c r="E47" s="8" t="str">
        <f ca="1">_xll.DBRW($C$9,$C47,E$12)</f>
        <v>8" 16 Gb</v>
      </c>
      <c r="F47" s="9" t="str">
        <f ca="1">_xll.DBRW($C$9,$C47,F$12)</f>
        <v>Y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  <c r="AAA47" s="2"/>
      <c r="AAB47" s="2"/>
      <c r="AAC47" s="2"/>
      <c r="AAD47" s="2"/>
      <c r="AAE47" s="2"/>
      <c r="AAF47" s="2"/>
      <c r="AAG47" s="2"/>
      <c r="AAH47" s="2"/>
      <c r="AAI47" s="2"/>
      <c r="AAJ47" s="2"/>
      <c r="AAK47" s="2"/>
      <c r="AAL47" s="2"/>
      <c r="AAM47" s="2"/>
      <c r="AAN47" s="2"/>
      <c r="AAO47" s="2"/>
      <c r="AAP47" s="2"/>
      <c r="AAQ47" s="2"/>
      <c r="AAR47" s="2"/>
      <c r="AAS47" s="2"/>
      <c r="AAT47" s="2"/>
      <c r="AAU47" s="2"/>
      <c r="AAV47" s="2"/>
      <c r="AAW47" s="2"/>
      <c r="AAX47" s="2"/>
      <c r="AAY47" s="2"/>
      <c r="AAZ47" s="2"/>
      <c r="ABA47" s="2"/>
      <c r="ABB47" s="2"/>
      <c r="ABC47" s="2"/>
      <c r="ABD47" s="2"/>
      <c r="ABE47" s="2"/>
      <c r="ABF47" s="2"/>
      <c r="ABG47" s="2"/>
      <c r="ABH47" s="2"/>
      <c r="ABI47" s="2"/>
      <c r="ABJ47" s="2"/>
      <c r="ABK47" s="2"/>
      <c r="ABL47" s="2"/>
      <c r="ABM47" s="2"/>
      <c r="ABN47" s="2"/>
      <c r="ABO47" s="2"/>
      <c r="ABP47" s="2"/>
      <c r="ABQ47" s="2"/>
      <c r="ABR47" s="2"/>
      <c r="ABS47" s="2"/>
      <c r="ABT47" s="2"/>
      <c r="ABU47" s="2"/>
      <c r="ABV47" s="2"/>
      <c r="ABW47" s="2"/>
      <c r="ABX47" s="2"/>
      <c r="ABY47" s="2"/>
      <c r="ABZ47" s="2"/>
      <c r="ACA47" s="2"/>
      <c r="ACB47" s="2"/>
      <c r="ACC47" s="2"/>
      <c r="ACD47" s="2"/>
      <c r="ACE47" s="2"/>
      <c r="ACF47" s="2"/>
      <c r="ACG47" s="2"/>
      <c r="ACH47" s="2"/>
      <c r="ACI47" s="2"/>
      <c r="ACJ47" s="2"/>
      <c r="ACK47" s="2"/>
      <c r="ACL47" s="2"/>
      <c r="ACM47" s="2"/>
      <c r="ACN47" s="2"/>
      <c r="ACO47" s="2"/>
      <c r="ACP47" s="2"/>
      <c r="ACQ47" s="2"/>
      <c r="ACR47" s="2"/>
      <c r="ACS47" s="2"/>
      <c r="ACT47" s="2"/>
      <c r="ACU47" s="2"/>
      <c r="ACV47" s="2"/>
      <c r="ACW47" s="2"/>
      <c r="ACX47" s="2"/>
      <c r="ACY47" s="2"/>
      <c r="ACZ47" s="2"/>
      <c r="ADA47" s="2"/>
      <c r="ADB47" s="2"/>
      <c r="ADC47" s="2"/>
      <c r="ADD47" s="2"/>
      <c r="ADE47" s="2"/>
      <c r="ADF47" s="2"/>
      <c r="ADG47" s="2"/>
      <c r="ADH47" s="2"/>
      <c r="ADI47" s="2"/>
      <c r="ADJ47" s="2"/>
      <c r="ADK47" s="2"/>
      <c r="ADL47" s="2"/>
      <c r="ADM47" s="2"/>
      <c r="ADN47" s="2"/>
      <c r="ADO47" s="2"/>
      <c r="ADP47" s="2"/>
      <c r="ADQ47" s="2"/>
      <c r="ADR47" s="2"/>
      <c r="ADS47" s="2"/>
      <c r="ADT47" s="2"/>
      <c r="ADU47" s="2"/>
      <c r="ADV47" s="2"/>
      <c r="ADW47" s="2"/>
      <c r="ADX47" s="2"/>
      <c r="ADY47" s="2"/>
      <c r="ADZ47" s="2"/>
      <c r="AEA47" s="2"/>
      <c r="AEB47" s="2"/>
      <c r="AEC47" s="2"/>
      <c r="AED47" s="2"/>
      <c r="AEE47" s="2"/>
      <c r="AEF47" s="2"/>
      <c r="AEG47" s="2"/>
      <c r="AEH47" s="2"/>
      <c r="AEI47" s="2"/>
      <c r="AEJ47" s="2"/>
      <c r="AEK47" s="2"/>
      <c r="AEL47" s="2"/>
      <c r="AEM47" s="2"/>
      <c r="AEN47" s="2"/>
      <c r="AEO47" s="2"/>
      <c r="AEP47" s="2"/>
      <c r="AEQ47" s="2"/>
      <c r="AER47" s="2"/>
      <c r="AES47" s="2"/>
      <c r="AET47" s="2"/>
      <c r="AEU47" s="2"/>
      <c r="AEV47" s="2"/>
      <c r="AEW47" s="2"/>
      <c r="AEX47" s="2"/>
      <c r="AEY47" s="2"/>
      <c r="AEZ47" s="2"/>
      <c r="AFA47" s="2"/>
      <c r="AFB47" s="2"/>
      <c r="AFC47" s="2"/>
      <c r="AFD47" s="2"/>
      <c r="AFE47" s="2"/>
      <c r="AFF47" s="2"/>
      <c r="AFG47" s="2"/>
      <c r="AFH47" s="2"/>
      <c r="AFI47" s="2"/>
      <c r="AFJ47" s="2"/>
      <c r="AFK47" s="2"/>
      <c r="AFL47" s="2"/>
      <c r="AFM47" s="2"/>
      <c r="AFN47" s="2"/>
      <c r="AFO47" s="2"/>
      <c r="AFP47" s="2"/>
      <c r="AFQ47" s="2"/>
      <c r="AFR47" s="2"/>
      <c r="AFS47" s="2"/>
      <c r="AFT47" s="2"/>
      <c r="AFU47" s="2"/>
      <c r="AFV47" s="2"/>
      <c r="AFW47" s="2"/>
      <c r="AFX47" s="2"/>
      <c r="AFY47" s="2"/>
      <c r="AFZ47" s="2"/>
      <c r="AGA47" s="2"/>
      <c r="AGB47" s="2"/>
      <c r="AGC47" s="2"/>
      <c r="AGD47" s="2"/>
      <c r="AGE47" s="2"/>
      <c r="AGF47" s="2"/>
      <c r="AGG47" s="2"/>
      <c r="AGH47" s="2"/>
      <c r="AGI47" s="2"/>
      <c r="AGJ47" s="2"/>
      <c r="AGK47" s="2"/>
      <c r="AGL47" s="2"/>
      <c r="AGM47" s="2"/>
      <c r="AGN47" s="2"/>
      <c r="AGO47" s="2"/>
      <c r="AGP47" s="2"/>
      <c r="AGQ47" s="2"/>
      <c r="AGR47" s="2"/>
      <c r="AGS47" s="2"/>
      <c r="AGT47" s="2"/>
      <c r="AGU47" s="2"/>
      <c r="AGV47" s="2"/>
      <c r="AGW47" s="2"/>
      <c r="AGX47" s="2"/>
      <c r="AGY47" s="2"/>
      <c r="AGZ47" s="2"/>
      <c r="AHA47" s="2"/>
      <c r="AHB47" s="2"/>
      <c r="AHC47" s="2"/>
      <c r="AHD47" s="2"/>
      <c r="AHE47" s="2"/>
      <c r="AHF47" s="2"/>
      <c r="AHG47" s="2"/>
      <c r="AHH47" s="2"/>
      <c r="AHI47" s="2"/>
      <c r="AHJ47" s="2"/>
      <c r="AHK47" s="2"/>
      <c r="AHL47" s="2"/>
      <c r="AHM47" s="2"/>
      <c r="AHN47" s="2"/>
      <c r="AHO47" s="2"/>
      <c r="AHP47" s="2"/>
      <c r="AHQ47" s="2"/>
      <c r="AHR47" s="2"/>
      <c r="AHS47" s="2"/>
      <c r="AHT47" s="2"/>
      <c r="AHU47" s="2"/>
      <c r="AHV47" s="2"/>
      <c r="AHW47" s="2"/>
      <c r="AHX47" s="2"/>
      <c r="AHY47" s="2"/>
      <c r="AHZ47" s="2"/>
      <c r="AIA47" s="2"/>
      <c r="AIB47" s="2"/>
      <c r="AIC47" s="2"/>
      <c r="AID47" s="2"/>
      <c r="AIE47" s="2"/>
      <c r="AIF47" s="2"/>
      <c r="AIG47" s="2"/>
      <c r="AIH47" s="2"/>
      <c r="AII47" s="2"/>
      <c r="AIJ47" s="2"/>
      <c r="AIK47" s="2"/>
      <c r="AIL47" s="2"/>
      <c r="AIM47" s="2"/>
      <c r="AIN47" s="2"/>
      <c r="AIO47" s="2"/>
      <c r="AIP47" s="2"/>
      <c r="AIQ47" s="2"/>
      <c r="AIR47" s="2"/>
      <c r="AIS47" s="2"/>
      <c r="AIT47" s="2"/>
      <c r="AIU47" s="2"/>
      <c r="AIV47" s="2"/>
      <c r="AIW47" s="2"/>
      <c r="AIX47" s="2"/>
      <c r="AIY47" s="2"/>
      <c r="AIZ47" s="2"/>
      <c r="AJA47" s="2"/>
      <c r="AJB47" s="2"/>
      <c r="AJC47" s="2"/>
      <c r="AJD47" s="2"/>
      <c r="AJE47" s="2"/>
      <c r="AJF47" s="2"/>
      <c r="AJG47" s="2"/>
      <c r="AJH47" s="2"/>
      <c r="AJI47" s="2"/>
      <c r="AJJ47" s="2"/>
      <c r="AJK47" s="2"/>
      <c r="AJL47" s="2"/>
      <c r="AJM47" s="2"/>
      <c r="AJN47" s="2"/>
      <c r="AJO47" s="2"/>
      <c r="AJP47" s="2"/>
      <c r="AJQ47" s="2"/>
      <c r="AJR47" s="2"/>
      <c r="AJS47" s="2"/>
      <c r="AJT47" s="2"/>
      <c r="AJU47" s="2"/>
      <c r="AJV47" s="2"/>
      <c r="AJW47" s="2"/>
      <c r="AJX47" s="2"/>
      <c r="AJY47" s="2"/>
      <c r="AJZ47" s="2"/>
      <c r="AKA47" s="2"/>
      <c r="AKB47" s="2"/>
      <c r="AKC47" s="2"/>
      <c r="AKD47" s="2"/>
      <c r="AKE47" s="2"/>
      <c r="AKF47" s="2"/>
      <c r="AKG47" s="2"/>
      <c r="AKH47" s="2"/>
      <c r="AKI47" s="2"/>
      <c r="AKJ47" s="2"/>
      <c r="AKK47" s="2"/>
      <c r="AKL47" s="2"/>
      <c r="AKM47" s="2"/>
      <c r="AKN47" s="2"/>
      <c r="AKO47" s="2"/>
      <c r="AKP47" s="2"/>
      <c r="AKQ47" s="2"/>
      <c r="AKR47" s="2"/>
      <c r="AKS47" s="2"/>
      <c r="AKT47" s="2"/>
      <c r="AKU47" s="2"/>
      <c r="AKV47" s="2"/>
      <c r="AKW47" s="2"/>
      <c r="AKX47" s="2"/>
      <c r="AKY47" s="2"/>
      <c r="AKZ47" s="2"/>
      <c r="ALA47" s="2"/>
      <c r="ALB47" s="2"/>
      <c r="ALC47" s="2"/>
      <c r="ALD47" s="2"/>
      <c r="ALE47" s="2"/>
      <c r="ALF47" s="2"/>
      <c r="ALG47" s="2"/>
      <c r="ALH47" s="2"/>
      <c r="ALI47" s="2"/>
      <c r="ALJ47" s="2"/>
      <c r="ALK47" s="2"/>
      <c r="ALL47" s="2"/>
    </row>
    <row r="48" spans="1:1000" customFormat="1" ht="15" x14ac:dyDescent="0.25">
      <c r="A48" s="2" t="str">
        <f ca="1">IF(_xll.TM1RPTELISCONSOLIDATED($C$14,$C48),IF(_xll.TM1RPTELLEV($C$14,$C48)&lt;=3,_xll.TM1RPTELLEV($C$14,$C48),"D"),"N")</f>
        <v>N</v>
      </c>
      <c r="B48" s="2"/>
      <c r="C48" s="49" t="s">
        <v>149</v>
      </c>
      <c r="D48" s="8" t="str">
        <f ca="1">_xll.DBRW($C$9,$C48,D$12)</f>
        <v>8" 32 Gb</v>
      </c>
      <c r="E48" s="8" t="str">
        <f ca="1">_xll.DBRW($C$9,$C48,E$12)</f>
        <v>8" 32 Gb</v>
      </c>
      <c r="F48" s="9" t="str">
        <f ca="1">_xll.DBRW($C$9,$C48,F$12)</f>
        <v>Y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  <c r="AAA48" s="2"/>
      <c r="AAB48" s="2"/>
      <c r="AAC48" s="2"/>
      <c r="AAD48" s="2"/>
      <c r="AAE48" s="2"/>
      <c r="AAF48" s="2"/>
      <c r="AAG48" s="2"/>
      <c r="AAH48" s="2"/>
      <c r="AAI48" s="2"/>
      <c r="AAJ48" s="2"/>
      <c r="AAK48" s="2"/>
      <c r="AAL48" s="2"/>
      <c r="AAM48" s="2"/>
      <c r="AAN48" s="2"/>
      <c r="AAO48" s="2"/>
      <c r="AAP48" s="2"/>
      <c r="AAQ48" s="2"/>
      <c r="AAR48" s="2"/>
      <c r="AAS48" s="2"/>
      <c r="AAT48" s="2"/>
      <c r="AAU48" s="2"/>
      <c r="AAV48" s="2"/>
      <c r="AAW48" s="2"/>
      <c r="AAX48" s="2"/>
      <c r="AAY48" s="2"/>
      <c r="AAZ48" s="2"/>
      <c r="ABA48" s="2"/>
      <c r="ABB48" s="2"/>
      <c r="ABC48" s="2"/>
      <c r="ABD48" s="2"/>
      <c r="ABE48" s="2"/>
      <c r="ABF48" s="2"/>
      <c r="ABG48" s="2"/>
      <c r="ABH48" s="2"/>
      <c r="ABI48" s="2"/>
      <c r="ABJ48" s="2"/>
      <c r="ABK48" s="2"/>
      <c r="ABL48" s="2"/>
      <c r="ABM48" s="2"/>
      <c r="ABN48" s="2"/>
      <c r="ABO48" s="2"/>
      <c r="ABP48" s="2"/>
      <c r="ABQ48" s="2"/>
      <c r="ABR48" s="2"/>
      <c r="ABS48" s="2"/>
      <c r="ABT48" s="2"/>
      <c r="ABU48" s="2"/>
      <c r="ABV48" s="2"/>
      <c r="ABW48" s="2"/>
      <c r="ABX48" s="2"/>
      <c r="ABY48" s="2"/>
      <c r="ABZ48" s="2"/>
      <c r="ACA48" s="2"/>
      <c r="ACB48" s="2"/>
      <c r="ACC48" s="2"/>
      <c r="ACD48" s="2"/>
      <c r="ACE48" s="2"/>
      <c r="ACF48" s="2"/>
      <c r="ACG48" s="2"/>
      <c r="ACH48" s="2"/>
      <c r="ACI48" s="2"/>
      <c r="ACJ48" s="2"/>
      <c r="ACK48" s="2"/>
      <c r="ACL48" s="2"/>
      <c r="ACM48" s="2"/>
      <c r="ACN48" s="2"/>
      <c r="ACO48" s="2"/>
      <c r="ACP48" s="2"/>
      <c r="ACQ48" s="2"/>
      <c r="ACR48" s="2"/>
      <c r="ACS48" s="2"/>
      <c r="ACT48" s="2"/>
      <c r="ACU48" s="2"/>
      <c r="ACV48" s="2"/>
      <c r="ACW48" s="2"/>
      <c r="ACX48" s="2"/>
      <c r="ACY48" s="2"/>
      <c r="ACZ48" s="2"/>
      <c r="ADA48" s="2"/>
      <c r="ADB48" s="2"/>
      <c r="ADC48" s="2"/>
      <c r="ADD48" s="2"/>
      <c r="ADE48" s="2"/>
      <c r="ADF48" s="2"/>
      <c r="ADG48" s="2"/>
      <c r="ADH48" s="2"/>
      <c r="ADI48" s="2"/>
      <c r="ADJ48" s="2"/>
      <c r="ADK48" s="2"/>
      <c r="ADL48" s="2"/>
      <c r="ADM48" s="2"/>
      <c r="ADN48" s="2"/>
      <c r="ADO48" s="2"/>
      <c r="ADP48" s="2"/>
      <c r="ADQ48" s="2"/>
      <c r="ADR48" s="2"/>
      <c r="ADS48" s="2"/>
      <c r="ADT48" s="2"/>
      <c r="ADU48" s="2"/>
      <c r="ADV48" s="2"/>
      <c r="ADW48" s="2"/>
      <c r="ADX48" s="2"/>
      <c r="ADY48" s="2"/>
      <c r="ADZ48" s="2"/>
      <c r="AEA48" s="2"/>
      <c r="AEB48" s="2"/>
      <c r="AEC48" s="2"/>
      <c r="AED48" s="2"/>
      <c r="AEE48" s="2"/>
      <c r="AEF48" s="2"/>
      <c r="AEG48" s="2"/>
      <c r="AEH48" s="2"/>
      <c r="AEI48" s="2"/>
      <c r="AEJ48" s="2"/>
      <c r="AEK48" s="2"/>
      <c r="AEL48" s="2"/>
      <c r="AEM48" s="2"/>
      <c r="AEN48" s="2"/>
      <c r="AEO48" s="2"/>
      <c r="AEP48" s="2"/>
      <c r="AEQ48" s="2"/>
      <c r="AER48" s="2"/>
      <c r="AES48" s="2"/>
      <c r="AET48" s="2"/>
      <c r="AEU48" s="2"/>
      <c r="AEV48" s="2"/>
      <c r="AEW48" s="2"/>
      <c r="AEX48" s="2"/>
      <c r="AEY48" s="2"/>
      <c r="AEZ48" s="2"/>
      <c r="AFA48" s="2"/>
      <c r="AFB48" s="2"/>
      <c r="AFC48" s="2"/>
      <c r="AFD48" s="2"/>
      <c r="AFE48" s="2"/>
      <c r="AFF48" s="2"/>
      <c r="AFG48" s="2"/>
      <c r="AFH48" s="2"/>
      <c r="AFI48" s="2"/>
      <c r="AFJ48" s="2"/>
      <c r="AFK48" s="2"/>
      <c r="AFL48" s="2"/>
      <c r="AFM48" s="2"/>
      <c r="AFN48" s="2"/>
      <c r="AFO48" s="2"/>
      <c r="AFP48" s="2"/>
      <c r="AFQ48" s="2"/>
      <c r="AFR48" s="2"/>
      <c r="AFS48" s="2"/>
      <c r="AFT48" s="2"/>
      <c r="AFU48" s="2"/>
      <c r="AFV48" s="2"/>
      <c r="AFW48" s="2"/>
      <c r="AFX48" s="2"/>
      <c r="AFY48" s="2"/>
      <c r="AFZ48" s="2"/>
      <c r="AGA48" s="2"/>
      <c r="AGB48" s="2"/>
      <c r="AGC48" s="2"/>
      <c r="AGD48" s="2"/>
      <c r="AGE48" s="2"/>
      <c r="AGF48" s="2"/>
      <c r="AGG48" s="2"/>
      <c r="AGH48" s="2"/>
      <c r="AGI48" s="2"/>
      <c r="AGJ48" s="2"/>
      <c r="AGK48" s="2"/>
      <c r="AGL48" s="2"/>
      <c r="AGM48" s="2"/>
      <c r="AGN48" s="2"/>
      <c r="AGO48" s="2"/>
      <c r="AGP48" s="2"/>
      <c r="AGQ48" s="2"/>
      <c r="AGR48" s="2"/>
      <c r="AGS48" s="2"/>
      <c r="AGT48" s="2"/>
      <c r="AGU48" s="2"/>
      <c r="AGV48" s="2"/>
      <c r="AGW48" s="2"/>
      <c r="AGX48" s="2"/>
      <c r="AGY48" s="2"/>
      <c r="AGZ48" s="2"/>
      <c r="AHA48" s="2"/>
      <c r="AHB48" s="2"/>
      <c r="AHC48" s="2"/>
      <c r="AHD48" s="2"/>
      <c r="AHE48" s="2"/>
      <c r="AHF48" s="2"/>
      <c r="AHG48" s="2"/>
      <c r="AHH48" s="2"/>
      <c r="AHI48" s="2"/>
      <c r="AHJ48" s="2"/>
      <c r="AHK48" s="2"/>
      <c r="AHL48" s="2"/>
      <c r="AHM48" s="2"/>
      <c r="AHN48" s="2"/>
      <c r="AHO48" s="2"/>
      <c r="AHP48" s="2"/>
      <c r="AHQ48" s="2"/>
      <c r="AHR48" s="2"/>
      <c r="AHS48" s="2"/>
      <c r="AHT48" s="2"/>
      <c r="AHU48" s="2"/>
      <c r="AHV48" s="2"/>
      <c r="AHW48" s="2"/>
      <c r="AHX48" s="2"/>
      <c r="AHY48" s="2"/>
      <c r="AHZ48" s="2"/>
      <c r="AIA48" s="2"/>
      <c r="AIB48" s="2"/>
      <c r="AIC48" s="2"/>
      <c r="AID48" s="2"/>
      <c r="AIE48" s="2"/>
      <c r="AIF48" s="2"/>
      <c r="AIG48" s="2"/>
      <c r="AIH48" s="2"/>
      <c r="AII48" s="2"/>
      <c r="AIJ48" s="2"/>
      <c r="AIK48" s="2"/>
      <c r="AIL48" s="2"/>
      <c r="AIM48" s="2"/>
      <c r="AIN48" s="2"/>
      <c r="AIO48" s="2"/>
      <c r="AIP48" s="2"/>
      <c r="AIQ48" s="2"/>
      <c r="AIR48" s="2"/>
      <c r="AIS48" s="2"/>
      <c r="AIT48" s="2"/>
      <c r="AIU48" s="2"/>
      <c r="AIV48" s="2"/>
      <c r="AIW48" s="2"/>
      <c r="AIX48" s="2"/>
      <c r="AIY48" s="2"/>
      <c r="AIZ48" s="2"/>
      <c r="AJA48" s="2"/>
      <c r="AJB48" s="2"/>
      <c r="AJC48" s="2"/>
      <c r="AJD48" s="2"/>
      <c r="AJE48" s="2"/>
      <c r="AJF48" s="2"/>
      <c r="AJG48" s="2"/>
      <c r="AJH48" s="2"/>
      <c r="AJI48" s="2"/>
      <c r="AJJ48" s="2"/>
      <c r="AJK48" s="2"/>
      <c r="AJL48" s="2"/>
      <c r="AJM48" s="2"/>
      <c r="AJN48" s="2"/>
      <c r="AJO48" s="2"/>
      <c r="AJP48" s="2"/>
      <c r="AJQ48" s="2"/>
      <c r="AJR48" s="2"/>
      <c r="AJS48" s="2"/>
      <c r="AJT48" s="2"/>
      <c r="AJU48" s="2"/>
      <c r="AJV48" s="2"/>
      <c r="AJW48" s="2"/>
      <c r="AJX48" s="2"/>
      <c r="AJY48" s="2"/>
      <c r="AJZ48" s="2"/>
      <c r="AKA48" s="2"/>
      <c r="AKB48" s="2"/>
      <c r="AKC48" s="2"/>
      <c r="AKD48" s="2"/>
      <c r="AKE48" s="2"/>
      <c r="AKF48" s="2"/>
      <c r="AKG48" s="2"/>
      <c r="AKH48" s="2"/>
      <c r="AKI48" s="2"/>
      <c r="AKJ48" s="2"/>
      <c r="AKK48" s="2"/>
      <c r="AKL48" s="2"/>
      <c r="AKM48" s="2"/>
      <c r="AKN48" s="2"/>
      <c r="AKO48" s="2"/>
      <c r="AKP48" s="2"/>
      <c r="AKQ48" s="2"/>
      <c r="AKR48" s="2"/>
      <c r="AKS48" s="2"/>
      <c r="AKT48" s="2"/>
      <c r="AKU48" s="2"/>
      <c r="AKV48" s="2"/>
      <c r="AKW48" s="2"/>
      <c r="AKX48" s="2"/>
      <c r="AKY48" s="2"/>
      <c r="AKZ48" s="2"/>
      <c r="ALA48" s="2"/>
      <c r="ALB48" s="2"/>
      <c r="ALC48" s="2"/>
      <c r="ALD48" s="2"/>
      <c r="ALE48" s="2"/>
      <c r="ALF48" s="2"/>
      <c r="ALG48" s="2"/>
      <c r="ALH48" s="2"/>
      <c r="ALI48" s="2"/>
      <c r="ALJ48" s="2"/>
      <c r="ALK48" s="2"/>
      <c r="ALL48" s="2"/>
    </row>
    <row r="49" spans="1:1000" customFormat="1" ht="15" x14ac:dyDescent="0.25">
      <c r="A49" s="2" t="str">
        <f ca="1">IF(_xll.TM1RPTELISCONSOLIDATED($C$14,$C49),IF(_xll.TM1RPTELLEV($C$14,$C49)&lt;=3,_xll.TM1RPTELLEV($C$14,$C49),"D"),"N")</f>
        <v>N</v>
      </c>
      <c r="B49" s="2"/>
      <c r="C49" s="49" t="s">
        <v>150</v>
      </c>
      <c r="D49" s="8" t="str">
        <f ca="1">_xll.DBRW($C$9,$C49,D$12)</f>
        <v>8" 64 Gb</v>
      </c>
      <c r="E49" s="8" t="str">
        <f ca="1">_xll.DBRW($C$9,$C49,E$12)</f>
        <v>8" 64 Gb</v>
      </c>
      <c r="F49" s="9" t="str">
        <f ca="1">_xll.DBRW($C$9,$C49,F$12)</f>
        <v>Y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  <c r="AAA49" s="2"/>
      <c r="AAB49" s="2"/>
      <c r="AAC49" s="2"/>
      <c r="AAD49" s="2"/>
      <c r="AAE49" s="2"/>
      <c r="AAF49" s="2"/>
      <c r="AAG49" s="2"/>
      <c r="AAH49" s="2"/>
      <c r="AAI49" s="2"/>
      <c r="AAJ49" s="2"/>
      <c r="AAK49" s="2"/>
      <c r="AAL49" s="2"/>
      <c r="AAM49" s="2"/>
      <c r="AAN49" s="2"/>
      <c r="AAO49" s="2"/>
      <c r="AAP49" s="2"/>
      <c r="AAQ49" s="2"/>
      <c r="AAR49" s="2"/>
      <c r="AAS49" s="2"/>
      <c r="AAT49" s="2"/>
      <c r="AAU49" s="2"/>
      <c r="AAV49" s="2"/>
      <c r="AAW49" s="2"/>
      <c r="AAX49" s="2"/>
      <c r="AAY49" s="2"/>
      <c r="AAZ49" s="2"/>
      <c r="ABA49" s="2"/>
      <c r="ABB49" s="2"/>
      <c r="ABC49" s="2"/>
      <c r="ABD49" s="2"/>
      <c r="ABE49" s="2"/>
      <c r="ABF49" s="2"/>
      <c r="ABG49" s="2"/>
      <c r="ABH49" s="2"/>
      <c r="ABI49" s="2"/>
      <c r="ABJ49" s="2"/>
      <c r="ABK49" s="2"/>
      <c r="ABL49" s="2"/>
      <c r="ABM49" s="2"/>
      <c r="ABN49" s="2"/>
      <c r="ABO49" s="2"/>
      <c r="ABP49" s="2"/>
      <c r="ABQ49" s="2"/>
      <c r="ABR49" s="2"/>
      <c r="ABS49" s="2"/>
      <c r="ABT49" s="2"/>
      <c r="ABU49" s="2"/>
      <c r="ABV49" s="2"/>
      <c r="ABW49" s="2"/>
      <c r="ABX49" s="2"/>
      <c r="ABY49" s="2"/>
      <c r="ABZ49" s="2"/>
      <c r="ACA49" s="2"/>
      <c r="ACB49" s="2"/>
      <c r="ACC49" s="2"/>
      <c r="ACD49" s="2"/>
      <c r="ACE49" s="2"/>
      <c r="ACF49" s="2"/>
      <c r="ACG49" s="2"/>
      <c r="ACH49" s="2"/>
      <c r="ACI49" s="2"/>
      <c r="ACJ49" s="2"/>
      <c r="ACK49" s="2"/>
      <c r="ACL49" s="2"/>
      <c r="ACM49" s="2"/>
      <c r="ACN49" s="2"/>
      <c r="ACO49" s="2"/>
      <c r="ACP49" s="2"/>
      <c r="ACQ49" s="2"/>
      <c r="ACR49" s="2"/>
      <c r="ACS49" s="2"/>
      <c r="ACT49" s="2"/>
      <c r="ACU49" s="2"/>
      <c r="ACV49" s="2"/>
      <c r="ACW49" s="2"/>
      <c r="ACX49" s="2"/>
      <c r="ACY49" s="2"/>
      <c r="ACZ49" s="2"/>
      <c r="ADA49" s="2"/>
      <c r="ADB49" s="2"/>
      <c r="ADC49" s="2"/>
      <c r="ADD49" s="2"/>
      <c r="ADE49" s="2"/>
      <c r="ADF49" s="2"/>
      <c r="ADG49" s="2"/>
      <c r="ADH49" s="2"/>
      <c r="ADI49" s="2"/>
      <c r="ADJ49" s="2"/>
      <c r="ADK49" s="2"/>
      <c r="ADL49" s="2"/>
      <c r="ADM49" s="2"/>
      <c r="ADN49" s="2"/>
      <c r="ADO49" s="2"/>
      <c r="ADP49" s="2"/>
      <c r="ADQ49" s="2"/>
      <c r="ADR49" s="2"/>
      <c r="ADS49" s="2"/>
      <c r="ADT49" s="2"/>
      <c r="ADU49" s="2"/>
      <c r="ADV49" s="2"/>
      <c r="ADW49" s="2"/>
      <c r="ADX49" s="2"/>
      <c r="ADY49" s="2"/>
      <c r="ADZ49" s="2"/>
      <c r="AEA49" s="2"/>
      <c r="AEB49" s="2"/>
      <c r="AEC49" s="2"/>
      <c r="AED49" s="2"/>
      <c r="AEE49" s="2"/>
      <c r="AEF49" s="2"/>
      <c r="AEG49" s="2"/>
      <c r="AEH49" s="2"/>
      <c r="AEI49" s="2"/>
      <c r="AEJ49" s="2"/>
      <c r="AEK49" s="2"/>
      <c r="AEL49" s="2"/>
      <c r="AEM49" s="2"/>
      <c r="AEN49" s="2"/>
      <c r="AEO49" s="2"/>
      <c r="AEP49" s="2"/>
      <c r="AEQ49" s="2"/>
      <c r="AER49" s="2"/>
      <c r="AES49" s="2"/>
      <c r="AET49" s="2"/>
      <c r="AEU49" s="2"/>
      <c r="AEV49" s="2"/>
      <c r="AEW49" s="2"/>
      <c r="AEX49" s="2"/>
      <c r="AEY49" s="2"/>
      <c r="AEZ49" s="2"/>
      <c r="AFA49" s="2"/>
      <c r="AFB49" s="2"/>
      <c r="AFC49" s="2"/>
      <c r="AFD49" s="2"/>
      <c r="AFE49" s="2"/>
      <c r="AFF49" s="2"/>
      <c r="AFG49" s="2"/>
      <c r="AFH49" s="2"/>
      <c r="AFI49" s="2"/>
      <c r="AFJ49" s="2"/>
      <c r="AFK49" s="2"/>
      <c r="AFL49" s="2"/>
      <c r="AFM49" s="2"/>
      <c r="AFN49" s="2"/>
      <c r="AFO49" s="2"/>
      <c r="AFP49" s="2"/>
      <c r="AFQ49" s="2"/>
      <c r="AFR49" s="2"/>
      <c r="AFS49" s="2"/>
      <c r="AFT49" s="2"/>
      <c r="AFU49" s="2"/>
      <c r="AFV49" s="2"/>
      <c r="AFW49" s="2"/>
      <c r="AFX49" s="2"/>
      <c r="AFY49" s="2"/>
      <c r="AFZ49" s="2"/>
      <c r="AGA49" s="2"/>
      <c r="AGB49" s="2"/>
      <c r="AGC49" s="2"/>
      <c r="AGD49" s="2"/>
      <c r="AGE49" s="2"/>
      <c r="AGF49" s="2"/>
      <c r="AGG49" s="2"/>
      <c r="AGH49" s="2"/>
      <c r="AGI49" s="2"/>
      <c r="AGJ49" s="2"/>
      <c r="AGK49" s="2"/>
      <c r="AGL49" s="2"/>
      <c r="AGM49" s="2"/>
      <c r="AGN49" s="2"/>
      <c r="AGO49" s="2"/>
      <c r="AGP49" s="2"/>
      <c r="AGQ49" s="2"/>
      <c r="AGR49" s="2"/>
      <c r="AGS49" s="2"/>
      <c r="AGT49" s="2"/>
      <c r="AGU49" s="2"/>
      <c r="AGV49" s="2"/>
      <c r="AGW49" s="2"/>
      <c r="AGX49" s="2"/>
      <c r="AGY49" s="2"/>
      <c r="AGZ49" s="2"/>
      <c r="AHA49" s="2"/>
      <c r="AHB49" s="2"/>
      <c r="AHC49" s="2"/>
      <c r="AHD49" s="2"/>
      <c r="AHE49" s="2"/>
      <c r="AHF49" s="2"/>
      <c r="AHG49" s="2"/>
      <c r="AHH49" s="2"/>
      <c r="AHI49" s="2"/>
      <c r="AHJ49" s="2"/>
      <c r="AHK49" s="2"/>
      <c r="AHL49" s="2"/>
      <c r="AHM49" s="2"/>
      <c r="AHN49" s="2"/>
      <c r="AHO49" s="2"/>
      <c r="AHP49" s="2"/>
      <c r="AHQ49" s="2"/>
      <c r="AHR49" s="2"/>
      <c r="AHS49" s="2"/>
      <c r="AHT49" s="2"/>
      <c r="AHU49" s="2"/>
      <c r="AHV49" s="2"/>
      <c r="AHW49" s="2"/>
      <c r="AHX49" s="2"/>
      <c r="AHY49" s="2"/>
      <c r="AHZ49" s="2"/>
      <c r="AIA49" s="2"/>
      <c r="AIB49" s="2"/>
      <c r="AIC49" s="2"/>
      <c r="AID49" s="2"/>
      <c r="AIE49" s="2"/>
      <c r="AIF49" s="2"/>
      <c r="AIG49" s="2"/>
      <c r="AIH49" s="2"/>
      <c r="AII49" s="2"/>
      <c r="AIJ49" s="2"/>
      <c r="AIK49" s="2"/>
      <c r="AIL49" s="2"/>
      <c r="AIM49" s="2"/>
      <c r="AIN49" s="2"/>
      <c r="AIO49" s="2"/>
      <c r="AIP49" s="2"/>
      <c r="AIQ49" s="2"/>
      <c r="AIR49" s="2"/>
      <c r="AIS49" s="2"/>
      <c r="AIT49" s="2"/>
      <c r="AIU49" s="2"/>
      <c r="AIV49" s="2"/>
      <c r="AIW49" s="2"/>
      <c r="AIX49" s="2"/>
      <c r="AIY49" s="2"/>
      <c r="AIZ49" s="2"/>
      <c r="AJA49" s="2"/>
      <c r="AJB49" s="2"/>
      <c r="AJC49" s="2"/>
      <c r="AJD49" s="2"/>
      <c r="AJE49" s="2"/>
      <c r="AJF49" s="2"/>
      <c r="AJG49" s="2"/>
      <c r="AJH49" s="2"/>
      <c r="AJI49" s="2"/>
      <c r="AJJ49" s="2"/>
      <c r="AJK49" s="2"/>
      <c r="AJL49" s="2"/>
      <c r="AJM49" s="2"/>
      <c r="AJN49" s="2"/>
      <c r="AJO49" s="2"/>
      <c r="AJP49" s="2"/>
      <c r="AJQ49" s="2"/>
      <c r="AJR49" s="2"/>
      <c r="AJS49" s="2"/>
      <c r="AJT49" s="2"/>
      <c r="AJU49" s="2"/>
      <c r="AJV49" s="2"/>
      <c r="AJW49" s="2"/>
      <c r="AJX49" s="2"/>
      <c r="AJY49" s="2"/>
      <c r="AJZ49" s="2"/>
      <c r="AKA49" s="2"/>
      <c r="AKB49" s="2"/>
      <c r="AKC49" s="2"/>
      <c r="AKD49" s="2"/>
      <c r="AKE49" s="2"/>
      <c r="AKF49" s="2"/>
      <c r="AKG49" s="2"/>
      <c r="AKH49" s="2"/>
      <c r="AKI49" s="2"/>
      <c r="AKJ49" s="2"/>
      <c r="AKK49" s="2"/>
      <c r="AKL49" s="2"/>
      <c r="AKM49" s="2"/>
      <c r="AKN49" s="2"/>
      <c r="AKO49" s="2"/>
      <c r="AKP49" s="2"/>
      <c r="AKQ49" s="2"/>
      <c r="AKR49" s="2"/>
      <c r="AKS49" s="2"/>
      <c r="AKT49" s="2"/>
      <c r="AKU49" s="2"/>
      <c r="AKV49" s="2"/>
      <c r="AKW49" s="2"/>
      <c r="AKX49" s="2"/>
      <c r="AKY49" s="2"/>
      <c r="AKZ49" s="2"/>
      <c r="ALA49" s="2"/>
      <c r="ALB49" s="2"/>
      <c r="ALC49" s="2"/>
      <c r="ALD49" s="2"/>
      <c r="ALE49" s="2"/>
      <c r="ALF49" s="2"/>
      <c r="ALG49" s="2"/>
      <c r="ALH49" s="2"/>
      <c r="ALI49" s="2"/>
      <c r="ALJ49" s="2"/>
      <c r="ALK49" s="2"/>
      <c r="ALL49" s="2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4:B61"/>
  <sheetViews>
    <sheetView workbookViewId="0"/>
  </sheetViews>
  <sheetFormatPr defaultRowHeight="15" x14ac:dyDescent="0.25"/>
  <sheetData>
    <row r="14" spans="2:2" x14ac:dyDescent="0.25">
      <c r="B14" t="s">
        <v>56</v>
      </c>
    </row>
    <row r="15" spans="2:2" x14ac:dyDescent="0.25">
      <c r="B15" t="s">
        <v>57</v>
      </c>
    </row>
    <row r="16" spans="2:2" x14ac:dyDescent="0.25">
      <c r="B16" t="s">
        <v>58</v>
      </c>
    </row>
    <row r="17" spans="2:2" x14ac:dyDescent="0.25">
      <c r="B17" t="s">
        <v>59</v>
      </c>
    </row>
    <row r="18" spans="2:2" x14ac:dyDescent="0.25">
      <c r="B18" t="s">
        <v>60</v>
      </c>
    </row>
    <row r="19" spans="2:2" x14ac:dyDescent="0.25">
      <c r="B19" t="s">
        <v>61</v>
      </c>
    </row>
    <row r="20" spans="2:2" x14ac:dyDescent="0.25">
      <c r="B20" t="s">
        <v>62</v>
      </c>
    </row>
    <row r="21" spans="2:2" x14ac:dyDescent="0.25">
      <c r="B21" t="s">
        <v>63</v>
      </c>
    </row>
    <row r="22" spans="2:2" x14ac:dyDescent="0.25">
      <c r="B22" t="s">
        <v>64</v>
      </c>
    </row>
    <row r="23" spans="2:2" x14ac:dyDescent="0.25">
      <c r="B23" t="s">
        <v>65</v>
      </c>
    </row>
    <row r="24" spans="2:2" x14ac:dyDescent="0.25">
      <c r="B24" t="s">
        <v>66</v>
      </c>
    </row>
    <row r="25" spans="2:2" x14ac:dyDescent="0.25">
      <c r="B25" t="s">
        <v>67</v>
      </c>
    </row>
    <row r="26" spans="2:2" x14ac:dyDescent="0.25">
      <c r="B26" t="s">
        <v>68</v>
      </c>
    </row>
    <row r="27" spans="2:2" x14ac:dyDescent="0.25">
      <c r="B27" t="s">
        <v>69</v>
      </c>
    </row>
    <row r="28" spans="2:2" x14ac:dyDescent="0.25">
      <c r="B28" t="s">
        <v>70</v>
      </c>
    </row>
    <row r="29" spans="2:2" x14ac:dyDescent="0.25">
      <c r="B29" t="s">
        <v>71</v>
      </c>
    </row>
    <row r="30" spans="2:2" x14ac:dyDescent="0.25">
      <c r="B30" t="s">
        <v>72</v>
      </c>
    </row>
    <row r="31" spans="2:2" x14ac:dyDescent="0.25">
      <c r="B31" t="s">
        <v>73</v>
      </c>
    </row>
    <row r="32" spans="2:2" x14ac:dyDescent="0.25">
      <c r="B32" t="s">
        <v>74</v>
      </c>
    </row>
    <row r="33" spans="2:2" x14ac:dyDescent="0.25">
      <c r="B33" t="s">
        <v>75</v>
      </c>
    </row>
    <row r="34" spans="2:2" x14ac:dyDescent="0.25">
      <c r="B34" t="s">
        <v>76</v>
      </c>
    </row>
    <row r="35" spans="2:2" x14ac:dyDescent="0.25">
      <c r="B35" t="s">
        <v>77</v>
      </c>
    </row>
    <row r="36" spans="2:2" x14ac:dyDescent="0.25">
      <c r="B36" t="s">
        <v>78</v>
      </c>
    </row>
    <row r="37" spans="2:2" x14ac:dyDescent="0.25">
      <c r="B37" t="s">
        <v>79</v>
      </c>
    </row>
    <row r="38" spans="2:2" x14ac:dyDescent="0.25">
      <c r="B38" t="s">
        <v>80</v>
      </c>
    </row>
    <row r="39" spans="2:2" x14ac:dyDescent="0.25">
      <c r="B39" t="s">
        <v>81</v>
      </c>
    </row>
    <row r="40" spans="2:2" x14ac:dyDescent="0.25">
      <c r="B40" t="s">
        <v>82</v>
      </c>
    </row>
    <row r="41" spans="2:2" x14ac:dyDescent="0.25">
      <c r="B41" t="s">
        <v>83</v>
      </c>
    </row>
    <row r="42" spans="2:2" x14ac:dyDescent="0.25">
      <c r="B42" t="s">
        <v>84</v>
      </c>
    </row>
    <row r="43" spans="2:2" x14ac:dyDescent="0.25">
      <c r="B43" t="s">
        <v>85</v>
      </c>
    </row>
    <row r="44" spans="2:2" x14ac:dyDescent="0.25">
      <c r="B44" t="s">
        <v>86</v>
      </c>
    </row>
    <row r="45" spans="2:2" x14ac:dyDescent="0.25">
      <c r="B45" t="s">
        <v>87</v>
      </c>
    </row>
    <row r="46" spans="2:2" x14ac:dyDescent="0.25">
      <c r="B46" t="s">
        <v>88</v>
      </c>
    </row>
    <row r="47" spans="2:2" x14ac:dyDescent="0.25">
      <c r="B47" t="s">
        <v>89</v>
      </c>
    </row>
    <row r="48" spans="2:2" x14ac:dyDescent="0.25">
      <c r="B48" t="s">
        <v>90</v>
      </c>
    </row>
    <row r="49" spans="2:2" x14ac:dyDescent="0.25">
      <c r="B49" t="s">
        <v>91</v>
      </c>
    </row>
    <row r="50" spans="2:2" x14ac:dyDescent="0.25">
      <c r="B50" t="s">
        <v>92</v>
      </c>
    </row>
    <row r="51" spans="2:2" x14ac:dyDescent="0.25">
      <c r="B51" t="s">
        <v>93</v>
      </c>
    </row>
    <row r="52" spans="2:2" x14ac:dyDescent="0.25">
      <c r="B52" t="s">
        <v>94</v>
      </c>
    </row>
    <row r="53" spans="2:2" x14ac:dyDescent="0.25">
      <c r="B53" t="s">
        <v>95</v>
      </c>
    </row>
    <row r="54" spans="2:2" x14ac:dyDescent="0.25">
      <c r="B54" t="s">
        <v>96</v>
      </c>
    </row>
    <row r="55" spans="2:2" x14ac:dyDescent="0.25">
      <c r="B55" t="s">
        <v>97</v>
      </c>
    </row>
    <row r="56" spans="2:2" x14ac:dyDescent="0.25">
      <c r="B56" t="s">
        <v>98</v>
      </c>
    </row>
    <row r="57" spans="2:2" x14ac:dyDescent="0.25">
      <c r="B57" t="s">
        <v>99</v>
      </c>
    </row>
    <row r="58" spans="2:2" x14ac:dyDescent="0.25">
      <c r="B58" t="s">
        <v>100</v>
      </c>
    </row>
    <row r="59" spans="2:2" x14ac:dyDescent="0.25">
      <c r="B59" t="s">
        <v>101</v>
      </c>
    </row>
    <row r="60" spans="2:2" x14ac:dyDescent="0.25">
      <c r="B60" t="s">
        <v>102</v>
      </c>
    </row>
    <row r="61" spans="2:2" x14ac:dyDescent="0.25">
      <c r="B61" t="s">
        <v>103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Versions</vt:lpstr>
      <vt:lpstr>VersionAttributes</vt:lpstr>
      <vt:lpstr>LookUp</vt:lpstr>
      <vt:lpstr>{PL}PickLst</vt:lpstr>
      <vt:lpstr>VersionSubsets</vt:lpstr>
      <vt:lpstr>OrgAttributes</vt:lpstr>
      <vt:lpstr>ProductAttributes</vt:lpstr>
      <vt:lpstr>{AR}01</vt:lpstr>
      <vt:lpstr>pCompareVersion</vt:lpstr>
      <vt:lpstr>pDefaultVersion</vt:lpstr>
      <vt:lpstr>pFromVersion</vt:lpstr>
      <vt:lpstr>pLinkToDrivers</vt:lpstr>
      <vt:lpstr>pNewVersion</vt:lpstr>
      <vt:lpstr>pSecurityVersion</vt:lpstr>
      <vt:lpstr>pSecurityVersionState</vt:lpstr>
      <vt:lpstr>pSubsetName</vt:lpstr>
      <vt:lpstr>pToVersion</vt:lpstr>
      <vt:lpstr>ReadWrite</vt:lpstr>
      <vt:lpstr>ProductAttributes!TM1RPTDATARNG1</vt:lpstr>
      <vt:lpstr>VersionAttributes!TM1RPTDATARNG1</vt:lpstr>
      <vt:lpstr>VersionSubsets!TM1RPTDATARNG2</vt:lpstr>
      <vt:lpstr>ProductAttributes!TM1RPTFMTIDCOL</vt:lpstr>
      <vt:lpstr>VersionAttributes!TM1RPTFMTIDCOL</vt:lpstr>
      <vt:lpstr>VersionSubsets!TM1RPTFMTIDCOL</vt:lpstr>
      <vt:lpstr>ProductAttributes!TM1RPTFMTRNG</vt:lpstr>
      <vt:lpstr>VersionAttributes!TM1RPTFMTRNG</vt:lpstr>
      <vt:lpstr>VersionSubsets!TM1RPTFMTRNG</vt:lpstr>
      <vt:lpstr>YesNo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Windows User</cp:lastModifiedBy>
  <dcterms:created xsi:type="dcterms:W3CDTF">2012-01-19T15:40:49Z</dcterms:created>
  <dcterms:modified xsi:type="dcterms:W3CDTF">2014-06-04T14:01:09Z</dcterms:modified>
</cp:coreProperties>
</file>