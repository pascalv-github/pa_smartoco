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77D1D4E7-795B-4BAE-86B5-A25EBD45A018}" xr6:coauthVersionLast="47" xr6:coauthVersionMax="47" xr10:uidLastSave="{00000000-0000-0000-0000-000000000000}"/>
  <bookViews>
    <workbookView xWindow="-120" yWindow="-120" windowWidth="24675" windowHeight="13980" xr2:uid="{00000000-000D-0000-FFFF-FFFF00000000}"/>
  </bookViews>
  <sheets>
    <sheet name="TgtVar" sheetId="5" r:id="rId1"/>
    <sheet name="PL" sheetId="4" r:id="rId2"/>
    <sheet name="AllocDefintion" sheetId="18" r:id="rId3"/>
    <sheet name="AllocDetail" sheetId="12" r:id="rId4"/>
    <sheet name="AllocSummary" sheetId="14" r:id="rId5"/>
    <sheet name="PLReport" sheetId="13" r:id="rId6"/>
    <sheet name="Fcst" sheetId="7" r:id="rId7"/>
    <sheet name="FcstDetail" sheetId="8" r:id="rId8"/>
    <sheet name="FxVar" sheetId="9" r:id="rId9"/>
    <sheet name="FxRates" sheetId="16" r:id="rId10"/>
    <sheet name="{PL}PickLst" sheetId="11" state="hidden" r:id="rId11"/>
    <sheet name="Lookup" sheetId="10" state="hidden" r:id="rId12"/>
    <sheet name="AllocationIn" sheetId="6" state="hidden" r:id="rId13"/>
    <sheet name="{AR}01" sheetId="20" state="hidden" r:id="rId14"/>
  </sheets>
  <definedNames>
    <definedName name="FcstMethods">Lookup!$G$2:$G$4</definedName>
    <definedName name="ID" localSheetId="13" hidden="1">"66b083a2-457d-4d12-82bb-6c8af06b941d"</definedName>
    <definedName name="ID" localSheetId="10" hidden="1">"47e3c3c9-507d-4a57-beb7-543e8db4a12a"</definedName>
    <definedName name="ID" localSheetId="12" hidden="1">"8ab0b637-ab3c-407f-a523-fd00ee436c4f"</definedName>
    <definedName name="ID" localSheetId="2" hidden="1">"6057b929-967e-467c-bd39-123016fa6e28"</definedName>
    <definedName name="ID" localSheetId="3" hidden="1">"13bdfe2c-4153-4152-afec-cfc312804139"</definedName>
    <definedName name="ID" localSheetId="4" hidden="1">"4d5bf023-e6cc-4c8e-8a50-c4d1691c3aee"</definedName>
    <definedName name="ID" localSheetId="6" hidden="1">"8dff9cbe-0770-4be5-b30f-9597464b25dc"</definedName>
    <definedName name="ID" localSheetId="7" hidden="1">"8e3d6e80-2225-4019-b65b-d6a8845b6c33"</definedName>
    <definedName name="ID" localSheetId="9" hidden="1">"dbc3c821-92f0-4969-999e-25f2b7147898"</definedName>
    <definedName name="ID" localSheetId="8" hidden="1">"f2f7e24a-d6aa-4910-9b04-a4242e2d81d0"</definedName>
    <definedName name="ID" localSheetId="11" hidden="1">"124ae0ff-a5e4-4713-bffd-64b8a342b2f7"</definedName>
    <definedName name="ID" localSheetId="1" hidden="1">"eb2178a3-3ee7-4ffa-90b3-5b5aeca5abe7"</definedName>
    <definedName name="ID" localSheetId="5" hidden="1">"b006332c-cf00-4612-9b7d-771456b05115"</definedName>
    <definedName name="ID" localSheetId="0" hidden="1">"74cb62ee-8452-4e95-ba4e-0cb85d5934be"</definedName>
    <definedName name="OpExSubsets" localSheetId="2">Lookup!$A$2:$A$10</definedName>
    <definedName name="OpExSubsets">Lookup!$A$2:$A$10</definedName>
    <definedName name="RowFilter">Lookup!$B$2:$B$3</definedName>
    <definedName name="SelectYesNo" localSheetId="2">Lookup!$D$2:$D$3</definedName>
    <definedName name="SelectYesNo">Lookup!$D$2:$D$3</definedName>
    <definedName name="TM1REBUILDOPTION">1</definedName>
    <definedName name="TM1RPTDATARNG1" localSheetId="2">AllocDefintion!$18:$18</definedName>
    <definedName name="TM1RPTDATARNG1" localSheetId="8">FxVar!$20:$20</definedName>
    <definedName name="TM1RPTDATARNG1" localSheetId="0">TgtVar!$17:$29</definedName>
    <definedName name="TM1RPTDATARNG2" localSheetId="3">AllocDetail!$22:$36</definedName>
    <definedName name="TM1RPTDATARNG3" localSheetId="6">Fcst!$91:$103</definedName>
    <definedName name="TM1RPTDATARNG3" localSheetId="1">PL!$16:$28</definedName>
    <definedName name="TM1RPTFMTIDCOL" localSheetId="2">AllocDefintion!$A$1:$A$9</definedName>
    <definedName name="TM1RPTFMTIDCOL" localSheetId="3">AllocDetail!$A$1:$A$8</definedName>
    <definedName name="TM1RPTFMTIDCOL" localSheetId="6">Fcst!$A$1:$A$80</definedName>
    <definedName name="TM1RPTFMTIDCOL" localSheetId="8">FxVar!$A$1:$A$8</definedName>
    <definedName name="TM1RPTFMTIDCOL" localSheetId="1">PL!$A$1:$A$8</definedName>
    <definedName name="TM1RPTFMTIDCOL" localSheetId="0">TgtVar!$A$1:$A$8</definedName>
    <definedName name="TM1RPTFMTRNG" localSheetId="2">AllocDefintion!$D$1:$L$9</definedName>
    <definedName name="TM1RPTFMTRNG" localSheetId="3">AllocDetail!$C$1:$J$8</definedName>
    <definedName name="TM1RPTFMTRNG" localSheetId="6">Fcst!$C$1:$Q$80</definedName>
    <definedName name="TM1RPTFMTRNG" localSheetId="8">FxVar!$C$1:$H$8</definedName>
    <definedName name="TM1RPTFMTRNG" localSheetId="1">PL!$C$1:$H$8</definedName>
    <definedName name="TM1RPTFMTRNG" localSheetId="0">TgtVar!$C$1:$I$8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4" i="5" l="1"/>
  <c r="C33" i="5"/>
  <c r="G8" i="9"/>
  <c r="H80" i="7"/>
  <c r="G8" i="4"/>
  <c r="G8" i="5"/>
  <c r="H8" i="4"/>
  <c r="C18" i="18"/>
  <c r="A5" i="18"/>
  <c r="A4" i="18"/>
  <c r="A3" i="18"/>
  <c r="A2" i="18"/>
  <c r="A5" i="12"/>
  <c r="A4" i="12"/>
  <c r="A3" i="12"/>
  <c r="A2" i="12"/>
  <c r="H8" i="9"/>
  <c r="A5" i="9"/>
  <c r="A4" i="9"/>
  <c r="A3" i="9"/>
  <c r="A2" i="9"/>
  <c r="I80" i="7"/>
  <c r="A5" i="5"/>
  <c r="A4" i="5"/>
  <c r="A3" i="5"/>
  <c r="A2" i="5"/>
  <c r="A5" i="4"/>
  <c r="A4" i="4"/>
  <c r="A3" i="4"/>
  <c r="A2" i="4"/>
  <c r="F5" i="16"/>
  <c r="A92" i="7"/>
  <c r="A30" i="12"/>
  <c r="F13" i="12"/>
  <c r="A27" i="4"/>
  <c r="M5" i="8"/>
  <c r="A23" i="5"/>
  <c r="B12" i="8"/>
  <c r="O5" i="8"/>
  <c r="D5" i="14"/>
  <c r="F15" i="5"/>
  <c r="A22" i="12"/>
  <c r="A29" i="12"/>
  <c r="C13" i="9"/>
  <c r="A101" i="7"/>
  <c r="D85" i="7"/>
  <c r="D99" i="7"/>
  <c r="D93" i="7"/>
  <c r="A27" i="12"/>
  <c r="A24" i="4"/>
  <c r="D13" i="4"/>
  <c r="A20" i="5"/>
  <c r="F16" i="5"/>
  <c r="G5" i="13"/>
  <c r="N8" i="8"/>
  <c r="F6" i="6"/>
  <c r="F13" i="9"/>
  <c r="A100" i="7"/>
  <c r="C85" i="7"/>
  <c r="A26" i="12"/>
  <c r="A23" i="4"/>
  <c r="E13" i="4"/>
  <c r="A19" i="5"/>
  <c r="E5" i="13"/>
  <c r="M8" i="8"/>
  <c r="D5" i="8"/>
  <c r="D6" i="6"/>
  <c r="A20" i="9"/>
  <c r="A103" i="7"/>
  <c r="G13" i="9"/>
  <c r="A99" i="7"/>
  <c r="E85" i="7"/>
  <c r="D98" i="7"/>
  <c r="D92" i="7"/>
  <c r="A25" i="12"/>
  <c r="A22" i="4"/>
  <c r="F13" i="4"/>
  <c r="A18" i="5"/>
  <c r="L8" i="8"/>
  <c r="G88" i="7"/>
  <c r="H6" i="6"/>
  <c r="A91" i="7"/>
  <c r="P8" i="8"/>
  <c r="A98" i="7"/>
  <c r="A36" i="12"/>
  <c r="A24" i="12"/>
  <c r="A21" i="4"/>
  <c r="A29" i="5"/>
  <c r="B9" i="16"/>
  <c r="K8" i="8"/>
  <c r="F88" i="7"/>
  <c r="K88" i="7"/>
  <c r="A97" i="7"/>
  <c r="D103" i="7"/>
  <c r="D97" i="7"/>
  <c r="A35" i="12"/>
  <c r="A23" i="12"/>
  <c r="D14" i="18"/>
  <c r="A20" i="4"/>
  <c r="A28" i="5"/>
  <c r="H13" i="9"/>
  <c r="J8" i="8"/>
  <c r="E88" i="7"/>
  <c r="A22" i="5"/>
  <c r="K5" i="8"/>
  <c r="C5" i="16"/>
  <c r="A96" i="7"/>
  <c r="A34" i="12"/>
  <c r="F14" i="18"/>
  <c r="D10" i="18" s="1"/>
  <c r="A19" i="4"/>
  <c r="A27" i="5"/>
  <c r="D13" i="5"/>
  <c r="I8" i="8"/>
  <c r="P88" i="7"/>
  <c r="H85" i="7"/>
  <c r="A17" i="5"/>
  <c r="B5" i="16"/>
  <c r="E19" i="9"/>
  <c r="A95" i="7"/>
  <c r="D102" i="7"/>
  <c r="D96" i="7"/>
  <c r="A33" i="12"/>
  <c r="C13" i="12"/>
  <c r="C13" i="4"/>
  <c r="A18" i="4"/>
  <c r="A26" i="5"/>
  <c r="C13" i="5"/>
  <c r="E18" i="9"/>
  <c r="H8" i="8"/>
  <c r="O88" i="7"/>
  <c r="F8" i="13"/>
  <c r="D18" i="18"/>
  <c r="I18" i="18"/>
  <c r="A16" i="4"/>
  <c r="M88" i="7"/>
  <c r="G18" i="18"/>
  <c r="H1" i="16"/>
  <c r="A94" i="7"/>
  <c r="A32" i="12"/>
  <c r="E13" i="12"/>
  <c r="A17" i="4"/>
  <c r="A25" i="5"/>
  <c r="F13" i="5"/>
  <c r="F16" i="9"/>
  <c r="F8" i="8"/>
  <c r="N88" i="7"/>
  <c r="F5" i="14"/>
  <c r="H18" i="18"/>
  <c r="I6" i="6"/>
  <c r="A24" i="5"/>
  <c r="E8" i="8"/>
  <c r="E5" i="14"/>
  <c r="D100" i="7"/>
  <c r="D94" i="7"/>
  <c r="A26" i="4"/>
  <c r="D5" i="13"/>
  <c r="B5" i="14"/>
  <c r="A93" i="7"/>
  <c r="D101" i="7"/>
  <c r="D95" i="7"/>
  <c r="A31" i="12"/>
  <c r="D13" i="12"/>
  <c r="A28" i="4"/>
  <c r="H13" i="5"/>
  <c r="C9" i="5" s="1"/>
  <c r="E26" i="5"/>
  <c r="D12" i="8"/>
  <c r="G8" i="8"/>
  <c r="I19" i="5"/>
  <c r="G29" i="5"/>
  <c r="F18" i="18"/>
  <c r="B6" i="6"/>
  <c r="H21" i="5"/>
  <c r="F5" i="8"/>
  <c r="I5" i="8" s="1"/>
  <c r="J88" i="7"/>
  <c r="D13" i="9"/>
  <c r="C9" i="9" s="1"/>
  <c r="H27" i="5"/>
  <c r="A25" i="4"/>
  <c r="H25" i="5"/>
  <c r="O8" i="8"/>
  <c r="H23" i="5"/>
  <c r="H19" i="5"/>
  <c r="A102" i="7"/>
  <c r="C9" i="4"/>
  <c r="B5" i="13"/>
  <c r="C81" i="7"/>
  <c r="Q93" i="7"/>
  <c r="A28" i="12"/>
  <c r="I103" i="7"/>
  <c r="O100" i="7"/>
  <c r="A21" i="5"/>
  <c r="H88" i="7"/>
  <c r="I88" i="7"/>
  <c r="L88" i="7"/>
  <c r="K18" i="18"/>
  <c r="L18" i="18"/>
  <c r="C16" i="12"/>
  <c r="C9" i="12"/>
  <c r="D16" i="12"/>
  <c r="F16" i="12"/>
  <c r="H16" i="12"/>
  <c r="J16" i="12"/>
  <c r="J18" i="18"/>
  <c r="I27" i="5"/>
  <c r="E20" i="5"/>
  <c r="E24" i="5"/>
  <c r="F18" i="5"/>
  <c r="F20" i="5"/>
  <c r="F22" i="5"/>
  <c r="F24" i="5"/>
  <c r="F26" i="5"/>
  <c r="F28" i="5"/>
  <c r="C17" i="5"/>
  <c r="E18" i="5"/>
  <c r="E22" i="5"/>
  <c r="E28" i="5"/>
  <c r="G18" i="5"/>
  <c r="G20" i="5"/>
  <c r="G22" i="5"/>
  <c r="G24" i="5"/>
  <c r="G26" i="5"/>
  <c r="G28" i="5"/>
  <c r="I23" i="5"/>
  <c r="G17" i="5"/>
  <c r="H18" i="5"/>
  <c r="H20" i="5"/>
  <c r="H22" i="5"/>
  <c r="H24" i="5"/>
  <c r="H26" i="5"/>
  <c r="H28" i="5"/>
  <c r="I21" i="5"/>
  <c r="I18" i="5"/>
  <c r="I20" i="5"/>
  <c r="I22" i="5"/>
  <c r="I24" i="5"/>
  <c r="I26" i="5"/>
  <c r="I28" i="5"/>
  <c r="D19" i="5"/>
  <c r="D21" i="5"/>
  <c r="D23" i="5"/>
  <c r="D25" i="5"/>
  <c r="D27" i="5"/>
  <c r="D29" i="5"/>
  <c r="I25" i="5"/>
  <c r="I17" i="5"/>
  <c r="E17" i="5"/>
  <c r="E19" i="5"/>
  <c r="E21" i="5"/>
  <c r="E23" i="5"/>
  <c r="E25" i="5"/>
  <c r="E27" i="5"/>
  <c r="E29" i="5"/>
  <c r="H29" i="5"/>
  <c r="H17" i="5"/>
  <c r="D17" i="5"/>
  <c r="F19" i="5"/>
  <c r="F21" i="5"/>
  <c r="F23" i="5"/>
  <c r="F25" i="5"/>
  <c r="F27" i="5"/>
  <c r="F29" i="5"/>
  <c r="F17" i="5"/>
  <c r="G19" i="5"/>
  <c r="G21" i="5"/>
  <c r="G23" i="5"/>
  <c r="G25" i="5"/>
  <c r="G27" i="5"/>
  <c r="D18" i="5"/>
  <c r="D20" i="5"/>
  <c r="D22" i="5"/>
  <c r="D24" i="5"/>
  <c r="D26" i="5"/>
  <c r="D28" i="5"/>
  <c r="I29" i="5"/>
  <c r="C20" i="9"/>
  <c r="G20" i="9" s="1"/>
  <c r="F20" i="9"/>
  <c r="D20" i="9"/>
  <c r="E20" i="9"/>
  <c r="D20" i="4"/>
  <c r="F22" i="4"/>
  <c r="P63" i="4"/>
  <c r="P66" i="4"/>
  <c r="G17" i="4"/>
  <c r="H24" i="4"/>
  <c r="E27" i="4"/>
  <c r="H17" i="4"/>
  <c r="O67" i="4"/>
  <c r="G20" i="4"/>
  <c r="D23" i="4"/>
  <c r="E20" i="4"/>
  <c r="D25" i="4"/>
  <c r="O64" i="4"/>
  <c r="F25" i="4"/>
  <c r="P64" i="4"/>
  <c r="P67" i="4"/>
  <c r="C16" i="4"/>
  <c r="F18" i="4"/>
  <c r="H20" i="4"/>
  <c r="E23" i="4"/>
  <c r="G25" i="4"/>
  <c r="D28" i="4"/>
  <c r="H27" i="4"/>
  <c r="M65" i="4"/>
  <c r="M68" i="4"/>
  <c r="G18" i="4"/>
  <c r="D21" i="4"/>
  <c r="F23" i="4"/>
  <c r="H25" i="4"/>
  <c r="E28" i="4"/>
  <c r="E18" i="4"/>
  <c r="N65" i="4"/>
  <c r="N68" i="4"/>
  <c r="H18" i="4"/>
  <c r="E21" i="4"/>
  <c r="G23" i="4"/>
  <c r="D26" i="4"/>
  <c r="F28" i="4"/>
  <c r="F27" i="4"/>
  <c r="O65" i="4"/>
  <c r="O68" i="4"/>
  <c r="D19" i="4"/>
  <c r="F21" i="4"/>
  <c r="H23" i="4"/>
  <c r="E26" i="4"/>
  <c r="G28" i="4"/>
  <c r="P65" i="4"/>
  <c r="P68" i="4"/>
  <c r="E19" i="4"/>
  <c r="G21" i="4"/>
  <c r="D24" i="4"/>
  <c r="F26" i="4"/>
  <c r="H28" i="4"/>
  <c r="G22" i="4"/>
  <c r="M63" i="4"/>
  <c r="M66" i="4"/>
  <c r="D17" i="4"/>
  <c r="F19" i="4"/>
  <c r="H21" i="4"/>
  <c r="E24" i="4"/>
  <c r="G26" i="4"/>
  <c r="M67" i="4"/>
  <c r="N63" i="4"/>
  <c r="N66" i="4"/>
  <c r="E17" i="4"/>
  <c r="G19" i="4"/>
  <c r="D22" i="4"/>
  <c r="F24" i="4"/>
  <c r="H26" i="4"/>
  <c r="M64" i="4"/>
  <c r="O63" i="4"/>
  <c r="O66" i="4"/>
  <c r="F17" i="4"/>
  <c r="H19" i="4"/>
  <c r="E22" i="4"/>
  <c r="G24" i="4"/>
  <c r="D27" i="4"/>
  <c r="N64" i="4"/>
  <c r="N67" i="4"/>
  <c r="D18" i="4"/>
  <c r="F20" i="4"/>
  <c r="H22" i="4"/>
  <c r="E25" i="4"/>
  <c r="G27" i="4"/>
  <c r="G92" i="7"/>
  <c r="M95" i="7"/>
  <c r="M101" i="7"/>
  <c r="K96" i="7"/>
  <c r="I97" i="7"/>
  <c r="G98" i="7"/>
  <c r="K102" i="7"/>
  <c r="E93" i="7"/>
  <c r="O94" i="7"/>
  <c r="E99" i="7"/>
  <c r="Q99" i="7"/>
  <c r="P94" i="7"/>
  <c r="J97" i="7"/>
  <c r="P100" i="7"/>
  <c r="J92" i="7"/>
  <c r="H93" i="7"/>
  <c r="F94" i="7"/>
  <c r="P95" i="7"/>
  <c r="N96" i="7"/>
  <c r="L97" i="7"/>
  <c r="J98" i="7"/>
  <c r="H99" i="7"/>
  <c r="F100" i="7"/>
  <c r="P101" i="7"/>
  <c r="N102" i="7"/>
  <c r="L103" i="7"/>
  <c r="L96" i="7"/>
  <c r="J103" i="7"/>
  <c r="K92" i="7"/>
  <c r="I93" i="7"/>
  <c r="G94" i="7"/>
  <c r="E95" i="7"/>
  <c r="Q95" i="7"/>
  <c r="O96" i="7"/>
  <c r="M97" i="7"/>
  <c r="K98" i="7"/>
  <c r="I99" i="7"/>
  <c r="G100" i="7"/>
  <c r="E101" i="7"/>
  <c r="Q101" i="7"/>
  <c r="O102" i="7"/>
  <c r="M103" i="7"/>
  <c r="L92" i="7"/>
  <c r="J93" i="7"/>
  <c r="H94" i="7"/>
  <c r="F95" i="7"/>
  <c r="P96" i="7"/>
  <c r="N97" i="7"/>
  <c r="L98" i="7"/>
  <c r="J99" i="7"/>
  <c r="H100" i="7"/>
  <c r="F101" i="7"/>
  <c r="P102" i="7"/>
  <c r="N103" i="7"/>
  <c r="L102" i="7"/>
  <c r="M92" i="7"/>
  <c r="K93" i="7"/>
  <c r="I94" i="7"/>
  <c r="G95" i="7"/>
  <c r="E96" i="7"/>
  <c r="Q96" i="7"/>
  <c r="O97" i="7"/>
  <c r="M98" i="7"/>
  <c r="K99" i="7"/>
  <c r="I100" i="7"/>
  <c r="G101" i="7"/>
  <c r="E102" i="7"/>
  <c r="Q102" i="7"/>
  <c r="O103" i="7"/>
  <c r="F93" i="7"/>
  <c r="F99" i="7"/>
  <c r="N92" i="7"/>
  <c r="L93" i="7"/>
  <c r="J94" i="7"/>
  <c r="H95" i="7"/>
  <c r="F96" i="7"/>
  <c r="P97" i="7"/>
  <c r="N98" i="7"/>
  <c r="L99" i="7"/>
  <c r="J100" i="7"/>
  <c r="H101" i="7"/>
  <c r="F102" i="7"/>
  <c r="P103" i="7"/>
  <c r="N95" i="7"/>
  <c r="C91" i="7"/>
  <c r="O92" i="7"/>
  <c r="M93" i="7"/>
  <c r="K94" i="7"/>
  <c r="I95" i="7"/>
  <c r="G96" i="7"/>
  <c r="E97" i="7"/>
  <c r="Q97" i="7"/>
  <c r="O98" i="7"/>
  <c r="M99" i="7"/>
  <c r="K100" i="7"/>
  <c r="I101" i="7"/>
  <c r="G102" i="7"/>
  <c r="E103" i="7"/>
  <c r="Q103" i="7"/>
  <c r="H92" i="7"/>
  <c r="H98" i="7"/>
  <c r="G91" i="7"/>
  <c r="P92" i="7"/>
  <c r="N93" i="7"/>
  <c r="L94" i="7"/>
  <c r="J95" i="7"/>
  <c r="H96" i="7"/>
  <c r="F97" i="7"/>
  <c r="P98" i="7"/>
  <c r="N99" i="7"/>
  <c r="L100" i="7"/>
  <c r="J101" i="7"/>
  <c r="H102" i="7"/>
  <c r="F103" i="7"/>
  <c r="N91" i="7"/>
  <c r="K91" i="7"/>
  <c r="E92" i="7"/>
  <c r="Q92" i="7"/>
  <c r="O93" i="7"/>
  <c r="M94" i="7"/>
  <c r="K95" i="7"/>
  <c r="I96" i="7"/>
  <c r="G97" i="7"/>
  <c r="E98" i="7"/>
  <c r="Q98" i="7"/>
  <c r="O99" i="7"/>
  <c r="M100" i="7"/>
  <c r="K101" i="7"/>
  <c r="I102" i="7"/>
  <c r="G103" i="7"/>
  <c r="O91" i="7"/>
  <c r="F92" i="7"/>
  <c r="P93" i="7"/>
  <c r="N94" i="7"/>
  <c r="L95" i="7"/>
  <c r="J96" i="7"/>
  <c r="H97" i="7"/>
  <c r="F98" i="7"/>
  <c r="P99" i="7"/>
  <c r="N100" i="7"/>
  <c r="L101" i="7"/>
  <c r="J102" i="7"/>
  <c r="H103" i="7"/>
  <c r="N101" i="7"/>
  <c r="I92" i="7"/>
  <c r="G93" i="7"/>
  <c r="E94" i="7"/>
  <c r="Q94" i="7"/>
  <c r="O95" i="7"/>
  <c r="M96" i="7"/>
  <c r="K97" i="7"/>
  <c r="I98" i="7"/>
  <c r="G99" i="7"/>
  <c r="E100" i="7"/>
  <c r="Q100" i="7"/>
  <c r="O101" i="7"/>
  <c r="M102" i="7"/>
  <c r="K103" i="7"/>
  <c r="I36" i="12"/>
  <c r="G26" i="12"/>
  <c r="E28" i="12"/>
  <c r="D23" i="12"/>
  <c r="J29" i="12"/>
  <c r="I24" i="12"/>
  <c r="H31" i="12"/>
  <c r="F33" i="12"/>
  <c r="D35" i="12"/>
  <c r="H26" i="12"/>
  <c r="J36" i="12"/>
  <c r="G23" i="12"/>
  <c r="E25" i="12"/>
  <c r="J26" i="12"/>
  <c r="H28" i="12"/>
  <c r="F30" i="12"/>
  <c r="D32" i="12"/>
  <c r="I33" i="12"/>
  <c r="G35" i="12"/>
  <c r="E23" i="12"/>
  <c r="E35" i="12"/>
  <c r="H23" i="12"/>
  <c r="F25" i="12"/>
  <c r="D27" i="12"/>
  <c r="I28" i="12"/>
  <c r="G30" i="12"/>
  <c r="E32" i="12"/>
  <c r="J33" i="12"/>
  <c r="H35" i="12"/>
  <c r="I23" i="12"/>
  <c r="G25" i="12"/>
  <c r="E27" i="12"/>
  <c r="J28" i="12"/>
  <c r="H30" i="12"/>
  <c r="F32" i="12"/>
  <c r="D34" i="12"/>
  <c r="I35" i="12"/>
  <c r="I31" i="12"/>
  <c r="J23" i="12"/>
  <c r="H25" i="12"/>
  <c r="F27" i="12"/>
  <c r="D29" i="12"/>
  <c r="I30" i="12"/>
  <c r="G32" i="12"/>
  <c r="E34" i="12"/>
  <c r="J35" i="12"/>
  <c r="F28" i="12"/>
  <c r="D24" i="12"/>
  <c r="I25" i="12"/>
  <c r="G27" i="12"/>
  <c r="E29" i="12"/>
  <c r="J30" i="12"/>
  <c r="H32" i="12"/>
  <c r="F34" i="12"/>
  <c r="D36" i="12"/>
  <c r="E24" i="12"/>
  <c r="J25" i="12"/>
  <c r="H27" i="12"/>
  <c r="F29" i="12"/>
  <c r="D31" i="12"/>
  <c r="I32" i="12"/>
  <c r="G34" i="12"/>
  <c r="E36" i="12"/>
  <c r="J24" i="12"/>
  <c r="F24" i="12"/>
  <c r="D26" i="12"/>
  <c r="I27" i="12"/>
  <c r="G29" i="12"/>
  <c r="E31" i="12"/>
  <c r="J32" i="12"/>
  <c r="H34" i="12"/>
  <c r="F36" i="12"/>
  <c r="G33" i="12"/>
  <c r="G24" i="12"/>
  <c r="E26" i="12"/>
  <c r="J27" i="12"/>
  <c r="H29" i="12"/>
  <c r="F31" i="12"/>
  <c r="D33" i="12"/>
  <c r="I34" i="12"/>
  <c r="G36" i="12"/>
  <c r="D30" i="12"/>
  <c r="C22" i="12"/>
  <c r="H24" i="12"/>
  <c r="F26" i="12"/>
  <c r="D28" i="12"/>
  <c r="I29" i="12"/>
  <c r="G31" i="12"/>
  <c r="E33" i="12"/>
  <c r="J34" i="12"/>
  <c r="H36" i="12"/>
  <c r="F23" i="12"/>
  <c r="D25" i="12"/>
  <c r="I26" i="12"/>
  <c r="G28" i="12"/>
  <c r="E30" i="12"/>
  <c r="J31" i="12"/>
  <c r="H33" i="12"/>
  <c r="F35" i="12"/>
  <c r="D16" i="4"/>
  <c r="G16" i="4"/>
  <c r="F16" i="4"/>
  <c r="H16" i="4"/>
  <c r="E16" i="4"/>
  <c r="F91" i="7"/>
  <c r="E91" i="7"/>
  <c r="I91" i="7"/>
  <c r="P91" i="7"/>
  <c r="H91" i="7"/>
  <c r="L91" i="7"/>
  <c r="J91" i="7"/>
  <c r="Q91" i="7"/>
  <c r="M91" i="7"/>
  <c r="D91" i="7"/>
  <c r="J22" i="12"/>
  <c r="I22" i="12"/>
  <c r="H22" i="12"/>
  <c r="G22" i="12"/>
  <c r="F22" i="12"/>
  <c r="E22" i="12"/>
  <c r="D22" i="12"/>
  <c r="H20" i="9" l="1"/>
  <c r="L87" i="7"/>
  <c r="I87" i="7"/>
  <c r="H87" i="7"/>
  <c r="O7" i="8"/>
  <c r="J87" i="7"/>
  <c r="C1" i="6"/>
  <c r="E18" i="18"/>
  <c r="G7" i="8"/>
  <c r="C1" i="14"/>
  <c r="C1" i="13"/>
  <c r="E7" i="8"/>
  <c r="N87" i="7"/>
  <c r="F7" i="8"/>
  <c r="M87" i="7"/>
  <c r="F7" i="13"/>
  <c r="O87" i="7"/>
  <c r="H7" i="8"/>
  <c r="P87" i="7"/>
  <c r="I7" i="8"/>
  <c r="C1" i="16"/>
  <c r="E1" i="8"/>
  <c r="E87" i="7"/>
  <c r="J7" i="8"/>
  <c r="K87" i="7"/>
  <c r="F87" i="7"/>
  <c r="K7" i="8"/>
  <c r="P7" i="8"/>
  <c r="G87" i="7"/>
  <c r="L7" i="8"/>
  <c r="M7" i="8"/>
  <c r="N7" i="8"/>
  <c r="G16" i="6"/>
  <c r="H16" i="6"/>
  <c r="D19" i="6"/>
  <c r="K17" i="6"/>
  <c r="E11" i="6"/>
  <c r="J9" i="6"/>
  <c r="K9" i="6"/>
  <c r="E19" i="6"/>
  <c r="G12" i="6"/>
  <c r="D15" i="6"/>
  <c r="E15" i="6"/>
  <c r="J17" i="6"/>
  <c r="D11" i="6"/>
  <c r="H12" i="6"/>
  <c r="J13" i="6"/>
  <c r="K13" i="6"/>
  <c r="I12" i="6"/>
  <c r="J16" i="6"/>
  <c r="E10" i="6"/>
  <c r="H11" i="6"/>
  <c r="K12" i="6"/>
  <c r="E14" i="6"/>
  <c r="H15" i="6"/>
  <c r="K16" i="6"/>
  <c r="E18" i="6"/>
  <c r="H19" i="6"/>
  <c r="F15" i="6"/>
  <c r="D10" i="6"/>
  <c r="G15" i="6"/>
  <c r="C9" i="6"/>
  <c r="F10" i="6"/>
  <c r="I11" i="6"/>
  <c r="C13" i="6"/>
  <c r="F14" i="6"/>
  <c r="I15" i="6"/>
  <c r="C17" i="6"/>
  <c r="F18" i="6"/>
  <c r="I19" i="6"/>
  <c r="G11" i="6"/>
  <c r="D9" i="6"/>
  <c r="G10" i="6"/>
  <c r="J11" i="6"/>
  <c r="D13" i="6"/>
  <c r="G14" i="6"/>
  <c r="J15" i="6"/>
  <c r="D17" i="6"/>
  <c r="G18" i="6"/>
  <c r="J19" i="6"/>
  <c r="F11" i="6"/>
  <c r="J12" i="6"/>
  <c r="K11" i="6"/>
  <c r="H18" i="6"/>
  <c r="G19" i="6"/>
  <c r="E9" i="6"/>
  <c r="E17" i="6"/>
  <c r="D18" i="6"/>
  <c r="H10" i="6"/>
  <c r="H14" i="6"/>
  <c r="K15" i="6"/>
  <c r="K19" i="6"/>
  <c r="F9" i="6"/>
  <c r="I10" i="6"/>
  <c r="F13" i="6"/>
  <c r="I14" i="6"/>
  <c r="C16" i="6"/>
  <c r="I18" i="6"/>
  <c r="G9" i="6"/>
  <c r="J10" i="6"/>
  <c r="D12" i="6"/>
  <c r="G13" i="6"/>
  <c r="J14" i="6"/>
  <c r="D16" i="6"/>
  <c r="G17" i="6"/>
  <c r="J18" i="6"/>
  <c r="C10" i="6"/>
  <c r="D14" i="6"/>
  <c r="E13" i="6"/>
  <c r="C12" i="6"/>
  <c r="F17" i="6"/>
  <c r="H9" i="6"/>
  <c r="K10" i="6"/>
  <c r="E12" i="6"/>
  <c r="H13" i="6"/>
  <c r="K14" i="6"/>
  <c r="E16" i="6"/>
  <c r="H17" i="6"/>
  <c r="K18" i="6"/>
  <c r="I9" i="6"/>
  <c r="C11" i="6"/>
  <c r="F12" i="6"/>
  <c r="I13" i="6"/>
  <c r="C15" i="6"/>
  <c r="F16" i="6"/>
  <c r="I17" i="6"/>
  <c r="C19" i="6"/>
  <c r="C14" i="6"/>
  <c r="I16" i="6"/>
  <c r="C18" i="6"/>
  <c r="F19" i="6"/>
  <c r="H8" i="16"/>
  <c r="I8" i="16"/>
  <c r="J9" i="16"/>
  <c r="M9" i="16"/>
  <c r="N9" i="16"/>
  <c r="L8" i="16"/>
  <c r="C9" i="16"/>
  <c r="M8" i="16"/>
  <c r="K8" i="16"/>
  <c r="D9" i="16"/>
  <c r="N8" i="16"/>
  <c r="E9" i="16"/>
  <c r="F9" i="16"/>
  <c r="C8" i="16"/>
  <c r="K9" i="16"/>
  <c r="G9" i="16"/>
  <c r="D8" i="16"/>
  <c r="H9" i="16"/>
  <c r="E8" i="16"/>
  <c r="I9" i="16"/>
  <c r="F8" i="16"/>
  <c r="L9" i="16"/>
  <c r="J8" i="16"/>
  <c r="G8" i="16"/>
  <c r="P13" i="8"/>
  <c r="P11" i="8"/>
  <c r="E11" i="8"/>
  <c r="Q11" i="8"/>
  <c r="J13" i="8"/>
  <c r="I12" i="8"/>
  <c r="H12" i="8"/>
  <c r="G11" i="8"/>
  <c r="Q13" i="8"/>
  <c r="F12" i="8"/>
  <c r="H11" i="8"/>
  <c r="E12" i="8"/>
  <c r="Q12" i="8"/>
  <c r="K13" i="8"/>
  <c r="I11" i="8"/>
  <c r="F13" i="8"/>
  <c r="L13" i="8"/>
  <c r="P12" i="8"/>
  <c r="J11" i="8"/>
  <c r="O12" i="8"/>
  <c r="G13" i="8"/>
  <c r="M13" i="8"/>
  <c r="N12" i="8"/>
  <c r="E13" i="8"/>
  <c r="L11" i="8"/>
  <c r="M12" i="8"/>
  <c r="K11" i="8"/>
  <c r="M11" i="8"/>
  <c r="H13" i="8"/>
  <c r="N13" i="8"/>
  <c r="L12" i="8"/>
  <c r="N11" i="8"/>
  <c r="K12" i="8"/>
  <c r="O11" i="8"/>
  <c r="I13" i="8"/>
  <c r="O13" i="8"/>
  <c r="J12" i="8"/>
  <c r="F11" i="8"/>
  <c r="G12" i="8"/>
  <c r="A18" i="18"/>
  <c r="F22" i="13"/>
  <c r="H16" i="13"/>
  <c r="D19" i="13"/>
  <c r="D11" i="13"/>
  <c r="E19" i="13"/>
  <c r="G22" i="13"/>
  <c r="H26" i="13"/>
  <c r="H10" i="13"/>
  <c r="E14" i="13"/>
  <c r="F14" i="13"/>
  <c r="G16" i="13"/>
  <c r="E17" i="13"/>
  <c r="G11" i="13"/>
  <c r="D15" i="13"/>
  <c r="F17" i="13"/>
  <c r="H19" i="13"/>
  <c r="E24" i="13"/>
  <c r="F11" i="13"/>
  <c r="H11" i="13"/>
  <c r="E15" i="13"/>
  <c r="G17" i="13"/>
  <c r="D20" i="13"/>
  <c r="F24" i="13"/>
  <c r="H14" i="13"/>
  <c r="D12" i="13"/>
  <c r="F15" i="13"/>
  <c r="H17" i="13"/>
  <c r="E20" i="13"/>
  <c r="G24" i="13"/>
  <c r="G19" i="13"/>
  <c r="G15" i="13"/>
  <c r="F20" i="13"/>
  <c r="G10" i="13"/>
  <c r="D18" i="13"/>
  <c r="F12" i="13"/>
  <c r="H15" i="13"/>
  <c r="E18" i="13"/>
  <c r="G20" i="13"/>
  <c r="D26" i="13"/>
  <c r="F10" i="13"/>
  <c r="E12" i="13"/>
  <c r="G12" i="13"/>
  <c r="D16" i="13"/>
  <c r="F18" i="13"/>
  <c r="H20" i="13"/>
  <c r="E26" i="13"/>
  <c r="D24" i="13"/>
  <c r="H24" i="13"/>
  <c r="D10" i="13"/>
  <c r="H12" i="13"/>
  <c r="E16" i="13"/>
  <c r="G18" i="13"/>
  <c r="D22" i="13"/>
  <c r="F26" i="13"/>
  <c r="E10" i="13"/>
  <c r="D14" i="13"/>
  <c r="F16" i="13"/>
  <c r="H18" i="13"/>
  <c r="E22" i="13"/>
  <c r="G26" i="13"/>
  <c r="E11" i="13"/>
  <c r="G14" i="13"/>
  <c r="D17" i="13"/>
  <c r="F19" i="13"/>
  <c r="H22" i="13"/>
  <c r="E12" i="14"/>
  <c r="E15" i="14"/>
  <c r="D12" i="14"/>
  <c r="F14" i="14"/>
  <c r="D15" i="14"/>
  <c r="F18" i="14"/>
  <c r="F20" i="14"/>
  <c r="D18" i="14"/>
  <c r="C19" i="14"/>
  <c r="F15" i="14"/>
  <c r="D10" i="14"/>
  <c r="D13" i="14"/>
  <c r="D16" i="14"/>
  <c r="D19" i="14"/>
  <c r="F10" i="14"/>
  <c r="F19" i="14"/>
  <c r="E10" i="14"/>
  <c r="E13" i="14"/>
  <c r="E16" i="14"/>
  <c r="E19" i="14"/>
  <c r="H11" i="14"/>
  <c r="H16" i="14"/>
  <c r="C16" i="14"/>
  <c r="G10" i="14"/>
  <c r="G13" i="14"/>
  <c r="G16" i="14"/>
  <c r="G19" i="14"/>
  <c r="F11" i="14"/>
  <c r="F16" i="14"/>
  <c r="C11" i="14"/>
  <c r="C14" i="14"/>
  <c r="C17" i="14"/>
  <c r="D11" i="14"/>
  <c r="D14" i="14"/>
  <c r="D17" i="14"/>
  <c r="H13" i="14"/>
  <c r="H12" i="14"/>
  <c r="H17" i="14"/>
  <c r="E18" i="14"/>
  <c r="C13" i="14"/>
  <c r="E11" i="14"/>
  <c r="E14" i="14"/>
  <c r="E17" i="14"/>
  <c r="F13" i="14"/>
  <c r="F12" i="14"/>
  <c r="F17" i="14"/>
  <c r="G11" i="14"/>
  <c r="G14" i="14"/>
  <c r="G17" i="14"/>
  <c r="C10" i="14"/>
  <c r="C12" i="14"/>
  <c r="C15" i="14"/>
  <c r="C18" i="14"/>
  <c r="H20" i="14"/>
  <c r="H14" i="14"/>
  <c r="H18" i="14"/>
  <c r="G12" i="14"/>
  <c r="G15" i="14"/>
  <c r="G18" i="14"/>
  <c r="H10" i="14"/>
  <c r="H15" i="14"/>
  <c r="H19" i="14"/>
  <c r="I17" i="14" l="1"/>
  <c r="I12" i="14"/>
  <c r="I13" i="14"/>
  <c r="I16" i="14"/>
  <c r="I11" i="14"/>
  <c r="I19" i="14"/>
  <c r="I10" i="14"/>
  <c r="I15" i="14"/>
  <c r="I20" i="14"/>
  <c r="I18" i="14"/>
  <c r="I14" i="14"/>
  <c r="O14" i="8"/>
  <c r="I14" i="8"/>
  <c r="N14" i="8"/>
  <c r="H14" i="8"/>
  <c r="E14" i="8"/>
  <c r="M14" i="8"/>
  <c r="G14" i="8"/>
  <c r="L14" i="8"/>
  <c r="F14" i="8"/>
  <c r="K14" i="8"/>
  <c r="Q14" i="8"/>
  <c r="J14" i="8"/>
  <c r="P14" i="8"/>
</calcChain>
</file>

<file path=xl/sharedStrings.xml><?xml version="1.0" encoding="utf-8"?>
<sst xmlns="http://schemas.openxmlformats.org/spreadsheetml/2006/main" count="526" uniqueCount="270">
  <si>
    <t>Year</t>
  </si>
  <si>
    <t>Version</t>
  </si>
  <si>
    <t>Source Entity</t>
  </si>
  <si>
    <t>Desc</t>
  </si>
  <si>
    <t>Source Account</t>
  </si>
  <si>
    <t>Source Amount</t>
  </si>
  <si>
    <t>Pct to Allocate</t>
  </si>
  <si>
    <t>Allocation Amount</t>
  </si>
  <si>
    <t>Allocation Driver</t>
  </si>
  <si>
    <t>D</t>
  </si>
  <si>
    <t>N</t>
  </si>
  <si>
    <t>[Begin Format Range]</t>
  </si>
  <si>
    <t>[End Format Range]</t>
  </si>
  <si>
    <t>Allocation 2</t>
  </si>
  <si>
    <t>Allocation 3</t>
  </si>
  <si>
    <t>Allocation 4</t>
  </si>
  <si>
    <t>Allocation 5</t>
  </si>
  <si>
    <t>Allocation 6</t>
  </si>
  <si>
    <t>Allocation 7</t>
  </si>
  <si>
    <t>Allocation 8</t>
  </si>
  <si>
    <t>Allocation 9</t>
  </si>
  <si>
    <t>Allocation 10</t>
  </si>
  <si>
    <t>Budget P&amp;L</t>
  </si>
  <si>
    <t>Organization</t>
  </si>
  <si>
    <t>Row Filter</t>
  </si>
  <si>
    <t>Summary</t>
  </si>
  <si>
    <t>Search (Wildcard=*)</t>
  </si>
  <si>
    <t>Supress Zero</t>
  </si>
  <si>
    <t>Yes</t>
  </si>
  <si>
    <t>($000)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</si>
  <si>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</si>
  <si>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</si>
  <si>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</si>
  <si>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</si>
  <si>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</si>
  <si>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</si>
  <si>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</si>
  <si>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</si>
  <si>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</si>
  <si>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</si>
  <si>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</si>
  <si>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</si>
  <si>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5999 Cost of Sales</t>
  </si>
  <si>
    <t>Gross Margin</t>
  </si>
  <si>
    <t>6099 PAYROLL</t>
  </si>
  <si>
    <t>6199 OFFICE EXPENSE</t>
  </si>
  <si>
    <t>6299 TRAVEL</t>
  </si>
  <si>
    <t>6399 OCCUPANCY</t>
  </si>
  <si>
    <t>6499 MARKETING</t>
  </si>
  <si>
    <t>6599 DEPRECIATION</t>
  </si>
  <si>
    <t>Total Operating Expense</t>
  </si>
  <si>
    <t>Net Profit</t>
  </si>
  <si>
    <t>6699 ALLOCATIONS</t>
  </si>
  <si>
    <t>Net Profit After Allocations</t>
  </si>
  <si>
    <t>Month</t>
  </si>
  <si>
    <t>No</t>
  </si>
  <si>
    <t>Actual</t>
  </si>
  <si>
    <t>Target</t>
  </si>
  <si>
    <t>Variance</t>
  </si>
  <si>
    <t>Variance%</t>
  </si>
  <si>
    <t>Explanation</t>
  </si>
  <si>
    <t>CUBE:</t>
  </si>
  <si>
    <t>Driver</t>
  </si>
  <si>
    <t>Total Driver</t>
  </si>
  <si>
    <t>Ratio</t>
  </si>
  <si>
    <t>Allocated Amount</t>
  </si>
  <si>
    <t>Credit Amount</t>
  </si>
  <si>
    <t>All Allocations</t>
  </si>
  <si>
    <t>Allocation 1</t>
  </si>
  <si>
    <t>Forecast P&amp;L</t>
  </si>
  <si>
    <t>Act/Fcst:</t>
  </si>
  <si>
    <t>Fcst Method</t>
  </si>
  <si>
    <t>Account</t>
  </si>
  <si>
    <t>Forecast</t>
  </si>
  <si>
    <t>Budget P&amp;L Fx Variance</t>
  </si>
  <si>
    <t>Office Expense</t>
  </si>
  <si>
    <t>Perf Var</t>
  </si>
  <si>
    <t>Fx Var</t>
  </si>
  <si>
    <t>Var Total</t>
  </si>
  <si>
    <t>Var %</t>
  </si>
  <si>
    <t>Budget</t>
  </si>
  <si>
    <t>Performance Variance</t>
  </si>
  <si>
    <t>Ccy Exchange Variance</t>
  </si>
  <si>
    <t>6100 Insurance</t>
  </si>
  <si>
    <t>6110 Office Equipment</t>
  </si>
  <si>
    <t>6120 Office Supplies</t>
  </si>
  <si>
    <t>6130 Other Expense</t>
  </si>
  <si>
    <t>6140 Postage and Mailing</t>
  </si>
  <si>
    <t>6150 Telephone</t>
  </si>
  <si>
    <t>OpExSubsets</t>
  </si>
  <si>
    <t>RowFilter</t>
  </si>
  <si>
    <t>SelectYesNo</t>
  </si>
  <si>
    <t>FcstMethods</t>
  </si>
  <si>
    <t>Item</t>
  </si>
  <si>
    <t>OpEx</t>
  </si>
  <si>
    <t>Last Year Actual</t>
  </si>
  <si>
    <t>OpEx All</t>
  </si>
  <si>
    <t>Average Prior 3 Months</t>
  </si>
  <si>
    <t>Payroll</t>
  </si>
  <si>
    <t/>
  </si>
  <si>
    <t>Travel</t>
  </si>
  <si>
    <t>Occupancy</t>
  </si>
  <si>
    <t>Marketing</t>
  </si>
  <si>
    <t>Depreciation</t>
  </si>
  <si>
    <t>6200 Meals</t>
  </si>
  <si>
    <t>6210 Hotel</t>
  </si>
  <si>
    <t>6220 Vehicles</t>
  </si>
  <si>
    <t>6230 Entertaining</t>
  </si>
  <si>
    <t>6300 Rent</t>
  </si>
  <si>
    <t>6310 Utilities</t>
  </si>
  <si>
    <t>6320 Maintenance</t>
  </si>
  <si>
    <t>6400 Sales Promotion</t>
  </si>
  <si>
    <t>6410 Advertising</t>
  </si>
  <si>
    <t>6520 Depreciation - New</t>
  </si>
  <si>
    <t>6510 Depreciation - Existing</t>
  </si>
  <si>
    <t>Allocation List</t>
  </si>
  <si>
    <t>Exclude Entity</t>
  </si>
  <si>
    <t>Description</t>
  </si>
  <si>
    <t>Square Footage</t>
  </si>
  <si>
    <t>Server Space</t>
  </si>
  <si>
    <t>FTE</t>
  </si>
  <si>
    <t>6005 Bonus</t>
  </si>
  <si>
    <t>6015 Employer Taxes</t>
  </si>
  <si>
    <t>Prior Year Actual</t>
  </si>
  <si>
    <t>PY Actual</t>
  </si>
  <si>
    <t>Massachusetts</t>
  </si>
  <si>
    <t>Maryland</t>
  </si>
  <si>
    <t>Central Region</t>
  </si>
  <si>
    <t>Michigan</t>
  </si>
  <si>
    <t>Illinois</t>
  </si>
  <si>
    <t>California</t>
  </si>
  <si>
    <t>Washington</t>
  </si>
  <si>
    <t>Canada</t>
  </si>
  <si>
    <t>Allocation Definition</t>
  </si>
  <si>
    <t>Allocation Detail</t>
  </si>
  <si>
    <t>Currency</t>
  </si>
  <si>
    <t>PY Actuals</t>
  </si>
  <si>
    <t>Var</t>
  </si>
  <si>
    <t>Gross Revenue</t>
  </si>
  <si>
    <t>4999 Gross Revenue</t>
  </si>
  <si>
    <t>Cost of Sales</t>
  </si>
  <si>
    <t>Operating Expense</t>
  </si>
  <si>
    <t>Allocations</t>
  </si>
  <si>
    <t>0_Jan</t>
  </si>
  <si>
    <t>1_Jan</t>
  </si>
  <si>
    <t>2_Jan</t>
  </si>
  <si>
    <t>3_Jan</t>
  </si>
  <si>
    <t>D_Jan</t>
  </si>
  <si>
    <t>N_Jan</t>
  </si>
  <si>
    <t>0_Feb</t>
  </si>
  <si>
    <t>1_Feb</t>
  </si>
  <si>
    <t>2_Feb</t>
  </si>
  <si>
    <t>3_Feb</t>
  </si>
  <si>
    <t>D_Feb</t>
  </si>
  <si>
    <t>N_Feb</t>
  </si>
  <si>
    <t>0_Mar</t>
  </si>
  <si>
    <t>1_Mar</t>
  </si>
  <si>
    <t>2_Mar</t>
  </si>
  <si>
    <t>3_Mar</t>
  </si>
  <si>
    <t>D_Mar</t>
  </si>
  <si>
    <t>N_Mar</t>
  </si>
  <si>
    <t>0_Apr</t>
  </si>
  <si>
    <t>1_Apr</t>
  </si>
  <si>
    <t>2_Apr</t>
  </si>
  <si>
    <t>3_Apr</t>
  </si>
  <si>
    <t>D_Apr</t>
  </si>
  <si>
    <t>N_Apr</t>
  </si>
  <si>
    <t>0_May</t>
  </si>
  <si>
    <t>1_May</t>
  </si>
  <si>
    <t>2_May</t>
  </si>
  <si>
    <t>3_May</t>
  </si>
  <si>
    <t>D_May</t>
  </si>
  <si>
    <t>N_May</t>
  </si>
  <si>
    <t>0_Jun</t>
  </si>
  <si>
    <t>1_Jun</t>
  </si>
  <si>
    <t>2_Jun</t>
  </si>
  <si>
    <t>3_Jun</t>
  </si>
  <si>
    <t>D_Jun</t>
  </si>
  <si>
    <t>N_Jun</t>
  </si>
  <si>
    <t>0_Jul</t>
  </si>
  <si>
    <t>1_Jul</t>
  </si>
  <si>
    <t>2_Jul</t>
  </si>
  <si>
    <t>3_Jul</t>
  </si>
  <si>
    <t>D_Jul</t>
  </si>
  <si>
    <t>N_Jul</t>
  </si>
  <si>
    <t>0_Aug</t>
  </si>
  <si>
    <t>1_Aug</t>
  </si>
  <si>
    <t>2_Aug</t>
  </si>
  <si>
    <t>3_Aug</t>
  </si>
  <si>
    <t>D_Aug</t>
  </si>
  <si>
    <t>N_Aug</t>
  </si>
  <si>
    <t>0_Sep</t>
  </si>
  <si>
    <t>1_Sep</t>
  </si>
  <si>
    <t>2_Sep</t>
  </si>
  <si>
    <t>3_Sep</t>
  </si>
  <si>
    <t>D_Sep</t>
  </si>
  <si>
    <t>N_Sep</t>
  </si>
  <si>
    <t>0_Oct</t>
  </si>
  <si>
    <t>1_Oct</t>
  </si>
  <si>
    <t>2_Oct</t>
  </si>
  <si>
    <t>3_Oct</t>
  </si>
  <si>
    <t>D_Oct</t>
  </si>
  <si>
    <t>N_Oct</t>
  </si>
  <si>
    <t>0_Nov</t>
  </si>
  <si>
    <t>1_Nov</t>
  </si>
  <si>
    <t>2_Nov</t>
  </si>
  <si>
    <t>3_Nov</t>
  </si>
  <si>
    <t>D_Nov</t>
  </si>
  <si>
    <t>N_Nov</t>
  </si>
  <si>
    <t>0_Dec</t>
  </si>
  <si>
    <t>1_Dec</t>
  </si>
  <si>
    <t>2_Dec</t>
  </si>
  <si>
    <t>3_Dec</t>
  </si>
  <si>
    <t>D_Dec</t>
  </si>
  <si>
    <t>N_Dec</t>
  </si>
  <si>
    <t>Allocation Out</t>
  </si>
  <si>
    <t>Allocation In</t>
  </si>
  <si>
    <t>Var to Bud</t>
  </si>
  <si>
    <t>Fcst Period</t>
  </si>
  <si>
    <t>Summary P&amp;L</t>
  </si>
  <si>
    <t>Allocation</t>
  </si>
  <si>
    <t>Amount</t>
  </si>
  <si>
    <t>Entity</t>
  </si>
  <si>
    <t>Exclude</t>
  </si>
  <si>
    <t>Total</t>
  </si>
  <si>
    <t>In</t>
  </si>
  <si>
    <t>Out</t>
  </si>
  <si>
    <t>Forecast P&amp;L Details ($000)</t>
  </si>
  <si>
    <t>Source</t>
  </si>
  <si>
    <t>Drive</t>
  </si>
  <si>
    <t>Credit</t>
  </si>
  <si>
    <t>Allocation Summary</t>
  </si>
  <si>
    <t>0</t>
  </si>
  <si>
    <t>1</t>
  </si>
  <si>
    <t>2</t>
  </si>
  <si>
    <t>3</t>
  </si>
  <si>
    <t>Exchange Rate</t>
  </si>
  <si>
    <t>Exchange Rate Type</t>
  </si>
  <si>
    <t>FX Rates</t>
  </si>
  <si>
    <t>6000 Salaries</t>
  </si>
  <si>
    <t>6010 Benefits</t>
  </si>
  <si>
    <t>6020 Cell Phones</t>
  </si>
  <si>
    <t>1_All</t>
  </si>
  <si>
    <t>Q1</t>
  </si>
  <si>
    <t>Q2</t>
  </si>
  <si>
    <t>Q3</t>
  </si>
  <si>
    <t>Q4</t>
  </si>
  <si>
    <t>4999</t>
  </si>
  <si>
    <t>5999</t>
  </si>
  <si>
    <t>GM</t>
  </si>
  <si>
    <t>6099</t>
  </si>
  <si>
    <t>6199</t>
  </si>
  <si>
    <t>6299</t>
  </si>
  <si>
    <t>6399</t>
  </si>
  <si>
    <t>6499</t>
  </si>
  <si>
    <t>6599</t>
  </si>
  <si>
    <t>TE</t>
  </si>
  <si>
    <t>NP</t>
  </si>
  <si>
    <t>6699</t>
  </si>
  <si>
    <t>NPAA</t>
  </si>
  <si>
    <t>Statistics</t>
  </si>
  <si>
    <t>P&amp;L Variance to Target</t>
  </si>
  <si>
    <t>P&amp;L</t>
  </si>
  <si>
    <t>East Region</t>
  </si>
  <si>
    <t>Florida</t>
  </si>
  <si>
    <t>West Region</t>
  </si>
  <si>
    <t>Ontario</t>
  </si>
  <si>
    <t>Quebec</t>
  </si>
  <si>
    <t>British Columbia</t>
  </si>
  <si>
    <t>Observations: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</si>
</sst>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,_);_(* \(#,##0,\);_(* &quot;-&quot;??_);_(@_)"/>
    <numFmt numFmtId="165" formatCode="&quot;- &quot;@"/>
    <numFmt numFmtId="166" formatCode="&quot;+ &quot;@"/>
    <numFmt numFmtId="167" formatCode="_(* #,##0_);_(* \(#,##0\);_(* &quot;-&quot;??_);_(@_)"/>
    <numFmt numFmtId="168" formatCode="0.0\%;\-0.0\%"/>
    <numFmt numFmtId="169" formatCode="_(* #,##0_);_(* \(#,##0\);_(* &quot; &quot;??_);_(@_)"/>
    <numFmt numFmtId="170" formatCode="#.0%"/>
    <numFmt numFmtId="171" formatCode="0.0\%;[Red]\(0.0\)\%"/>
    <numFmt numFmtId="172" formatCode="\-\ @"/>
    <numFmt numFmtId="173" formatCode="\+\ @"/>
  </numFmts>
  <fonts count="4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9"/>
      <name val="Calibri"/>
      <family val="2"/>
    </font>
    <font>
      <b/>
      <sz val="10"/>
      <name val="Calibri"/>
      <family val="2"/>
    </font>
    <font>
      <sz val="10"/>
      <color indexed="9"/>
      <name val="Calibri"/>
      <family val="2"/>
    </font>
    <font>
      <sz val="10"/>
      <name val="Calibri"/>
      <family val="2"/>
    </font>
    <font>
      <sz val="11"/>
      <color indexed="8"/>
      <name val="Calibri"/>
      <family val="2"/>
    </font>
    <font>
      <b/>
      <sz val="14"/>
      <color indexed="17"/>
      <name val="Arial"/>
      <family val="2"/>
    </font>
    <font>
      <sz val="10"/>
      <color indexed="8"/>
      <name val="Calibri"/>
      <family val="2"/>
    </font>
    <font>
      <sz val="10"/>
      <name val="Arial"/>
      <family val="2"/>
    </font>
    <font>
      <sz val="10"/>
      <name val="MS Sans Serif"/>
      <family val="2"/>
    </font>
    <font>
      <sz val="10"/>
      <name val="Verdana"/>
      <family val="2"/>
    </font>
    <font>
      <sz val="8"/>
      <name val="Calibri"/>
      <family val="2"/>
    </font>
    <font>
      <sz val="9"/>
      <color indexed="8"/>
      <name val="Calibri"/>
      <family val="2"/>
    </font>
    <font>
      <sz val="8"/>
      <color indexed="8"/>
      <name val="Calibri"/>
      <family val="2"/>
    </font>
    <font>
      <b/>
      <sz val="8"/>
      <color indexed="9"/>
      <name val="Calibri"/>
      <family val="2"/>
    </font>
    <font>
      <b/>
      <sz val="9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2"/>
      <color theme="0"/>
      <name val="Arial"/>
      <family val="2"/>
    </font>
    <font>
      <sz val="9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8"/>
      <color indexed="12"/>
      <name val="Calibri"/>
      <family val="2"/>
      <scheme val="minor"/>
    </font>
    <font>
      <b/>
      <sz val="11"/>
      <color rgb="FF329664"/>
      <name val="Calibri"/>
      <family val="2"/>
      <scheme val="minor"/>
    </font>
    <font>
      <b/>
      <sz val="11"/>
      <color rgb="FF0000C0"/>
      <name val="Calibri"/>
      <family val="2"/>
      <scheme val="minor"/>
    </font>
    <font>
      <sz val="11"/>
      <color theme="1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9"/>
      <color indexed="9"/>
      <name val="Arial"/>
      <family val="2"/>
    </font>
    <font>
      <sz val="8"/>
      <color theme="1"/>
      <name val="Arial"/>
      <family val="2"/>
    </font>
    <font>
      <sz val="8"/>
      <color rgb="FF7F7F7F"/>
      <name val="Arial"/>
      <family val="2"/>
    </font>
    <font>
      <b/>
      <sz val="8"/>
      <color rgb="FF7F7F7F"/>
      <name val="Arial"/>
      <family val="2"/>
    </font>
    <font>
      <sz val="11"/>
      <name val="Calibri"/>
      <family val="2"/>
      <scheme val="minor"/>
    </font>
    <font>
      <sz val="16"/>
      <name val="Arial"/>
      <family val="2"/>
    </font>
    <font>
      <b/>
      <sz val="16"/>
      <color rgb="FF7F7F7F"/>
      <name val="Arial"/>
      <family val="2"/>
    </font>
    <font>
      <sz val="11"/>
      <color theme="0"/>
      <name val="Arial"/>
      <family val="2"/>
    </font>
    <font>
      <b/>
      <sz val="11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indexed="44"/>
        <bgColor indexed="64"/>
      </patternFill>
    </fill>
    <fill>
      <patternFill patternType="lightTrellis">
        <fgColor rgb="FFAFAFAF"/>
        <bgColor rgb="FFEBEBEB"/>
      </patternFill>
    </fill>
    <fill>
      <patternFill patternType="solid">
        <fgColor rgb="FFEBEBEB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E5F2FF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1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/>
      <right/>
      <top/>
      <bottom style="thick">
        <color theme="3" tint="-0.2499465926084170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/>
      <top style="thin">
        <color theme="0" tint="-0.14990691854609822"/>
      </top>
      <bottom style="thin">
        <color theme="0" tint="-0.14993743705557422"/>
      </bottom>
      <diagonal/>
    </border>
  </borders>
  <cellStyleXfs count="45">
    <xf numFmtId="0" fontId="0" fillId="0" borderId="0"/>
    <xf numFmtId="43" fontId="6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0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1" fillId="0" borderId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1">
      <alignment horizontal="right" vertical="center"/>
    </xf>
    <xf numFmtId="0" fontId="17" fillId="11" borderId="1">
      <alignment horizontal="center" vertical="center"/>
    </xf>
    <xf numFmtId="0" fontId="24" fillId="0" borderId="1">
      <alignment horizontal="right" vertical="center"/>
    </xf>
    <xf numFmtId="0" fontId="17" fillId="11" borderId="1">
      <alignment horizontal="left" vertical="center"/>
    </xf>
    <xf numFmtId="0" fontId="17" fillId="11" borderId="1">
      <alignment horizontal="center" vertical="center"/>
    </xf>
    <xf numFmtId="0" fontId="25" fillId="11" borderId="1">
      <alignment horizontal="center" vertical="center"/>
    </xf>
    <xf numFmtId="0" fontId="24" fillId="8" borderId="1"/>
    <xf numFmtId="0" fontId="17" fillId="0" borderId="1">
      <alignment horizontal="left" vertical="top"/>
    </xf>
    <xf numFmtId="0" fontId="17" fillId="12" borderId="1"/>
    <xf numFmtId="0" fontId="17" fillId="0" borderId="1">
      <alignment horizontal="left" vertical="center"/>
    </xf>
    <xf numFmtId="0" fontId="24" fillId="13" borderId="1"/>
    <xf numFmtId="0" fontId="24" fillId="0" borderId="1">
      <alignment horizontal="right" vertical="center"/>
    </xf>
    <xf numFmtId="0" fontId="24" fillId="14" borderId="1">
      <alignment horizontal="right" vertical="center"/>
    </xf>
    <xf numFmtId="0" fontId="24" fillId="0" borderId="1">
      <alignment horizontal="center" vertical="center"/>
    </xf>
    <xf numFmtId="0" fontId="25" fillId="7" borderId="1"/>
    <xf numFmtId="0" fontId="25" fillId="15" borderId="1"/>
    <xf numFmtId="0" fontId="25" fillId="0" borderId="1">
      <alignment horizontal="center" vertical="center" wrapText="1"/>
    </xf>
    <xf numFmtId="0" fontId="26" fillId="11" borderId="1">
      <alignment horizontal="left" vertical="center" indent="1"/>
    </xf>
    <xf numFmtId="0" fontId="27" fillId="0" borderId="1"/>
    <xf numFmtId="0" fontId="17" fillId="11" borderId="1">
      <alignment horizontal="left" vertical="center"/>
    </xf>
    <xf numFmtId="0" fontId="25" fillId="11" borderId="1">
      <alignment horizontal="center" vertical="center"/>
    </xf>
    <xf numFmtId="0" fontId="18" fillId="7" borderId="1">
      <alignment horizontal="center" vertical="center"/>
    </xf>
    <xf numFmtId="0" fontId="18" fillId="15" borderId="1">
      <alignment horizontal="center" vertical="center"/>
    </xf>
    <xf numFmtId="0" fontId="18" fillId="7" borderId="1">
      <alignment horizontal="left" vertical="center"/>
    </xf>
    <xf numFmtId="0" fontId="18" fillId="15" borderId="1">
      <alignment horizontal="left" vertical="center"/>
    </xf>
    <xf numFmtId="0" fontId="28" fillId="0" borderId="1"/>
    <xf numFmtId="9" fontId="1" fillId="0" borderId="0" applyFont="0" applyFill="0" applyBorder="0" applyAlignment="0" applyProtection="0"/>
  </cellStyleXfs>
  <cellXfs count="156">
    <xf numFmtId="0" fontId="0" fillId="0" borderId="0" xfId="0"/>
    <xf numFmtId="164" fontId="3" fillId="2" borderId="1" xfId="1" applyNumberFormat="1" applyFont="1" applyFill="1" applyBorder="1"/>
    <xf numFmtId="164" fontId="5" fillId="3" borderId="1" xfId="1" applyNumberFormat="1" applyFont="1" applyFill="1" applyBorder="1"/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0" fillId="4" borderId="0" xfId="0" applyFill="1"/>
    <xf numFmtId="0" fontId="0" fillId="0" borderId="2" xfId="0" applyBorder="1"/>
    <xf numFmtId="165" fontId="2" fillId="5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center" vertical="center" wrapText="1"/>
    </xf>
    <xf numFmtId="9" fontId="3" fillId="2" borderId="1" xfId="13" applyFont="1" applyFill="1" applyBorder="1"/>
    <xf numFmtId="49" fontId="4" fillId="5" borderId="1" xfId="0" applyNumberFormat="1" applyFont="1" applyFill="1" applyBorder="1" applyAlignment="1">
      <alignment horizontal="left" indent="2"/>
    </xf>
    <xf numFmtId="9" fontId="5" fillId="3" borderId="1" xfId="13" applyFont="1" applyFill="1" applyBorder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6" borderId="4" xfId="0" applyFill="1" applyBorder="1"/>
    <xf numFmtId="49" fontId="15" fillId="5" borderId="1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wrapText="1"/>
    </xf>
    <xf numFmtId="0" fontId="16" fillId="0" borderId="0" xfId="0" applyFont="1"/>
    <xf numFmtId="0" fontId="13" fillId="0" borderId="0" xfId="0" applyFont="1"/>
    <xf numFmtId="49" fontId="19" fillId="9" borderId="7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20" fillId="10" borderId="0" xfId="0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center" wrapText="1"/>
    </xf>
    <xf numFmtId="0" fontId="19" fillId="16" borderId="0" xfId="0" applyFont="1" applyFill="1" applyAlignment="1">
      <alignment horizontal="center" vertical="center"/>
    </xf>
    <xf numFmtId="165" fontId="23" fillId="0" borderId="0" xfId="0" applyNumberFormat="1" applyFont="1" applyAlignment="1">
      <alignment horizontal="left" vertical="center" indent="2"/>
    </xf>
    <xf numFmtId="49" fontId="23" fillId="0" borderId="0" xfId="0" applyNumberFormat="1" applyFont="1" applyAlignment="1">
      <alignment horizontal="left" vertical="center" indent="3"/>
    </xf>
    <xf numFmtId="166" fontId="23" fillId="0" borderId="0" xfId="0" applyNumberFormat="1" applyFont="1" applyAlignment="1">
      <alignment horizontal="left" vertical="center" indent="3"/>
    </xf>
    <xf numFmtId="37" fontId="23" fillId="0" borderId="0" xfId="0" applyNumberFormat="1" applyFont="1" applyAlignment="1">
      <alignment horizontal="right"/>
    </xf>
    <xf numFmtId="49" fontId="23" fillId="0" borderId="0" xfId="0" applyNumberFormat="1" applyFont="1" applyAlignment="1">
      <alignment horizontal="left" indent="1"/>
    </xf>
    <xf numFmtId="164" fontId="23" fillId="0" borderId="0" xfId="17" applyNumberFormat="1" applyFont="1" applyFill="1" applyBorder="1"/>
    <xf numFmtId="167" fontId="23" fillId="0" borderId="0" xfId="17" applyNumberFormat="1" applyFont="1" applyFill="1" applyBorder="1"/>
    <xf numFmtId="9" fontId="23" fillId="0" borderId="0" xfId="44" applyFont="1" applyFill="1" applyBorder="1"/>
    <xf numFmtId="169" fontId="22" fillId="0" borderId="0" xfId="1" applyNumberFormat="1" applyFont="1" applyFill="1" applyBorder="1"/>
    <xf numFmtId="169" fontId="22" fillId="0" borderId="0" xfId="1" applyNumberFormat="1" applyFont="1" applyFill="1" applyBorder="1" applyAlignment="1">
      <alignment horizontal="center"/>
    </xf>
    <xf numFmtId="9" fontId="22" fillId="0" borderId="0" xfId="13" applyFont="1" applyFill="1" applyBorder="1"/>
    <xf numFmtId="169" fontId="23" fillId="0" borderId="0" xfId="1" applyNumberFormat="1" applyFont="1" applyFill="1" applyBorder="1"/>
    <xf numFmtId="169" fontId="23" fillId="0" borderId="0" xfId="1" applyNumberFormat="1" applyFont="1" applyFill="1" applyBorder="1" applyAlignment="1">
      <alignment horizontal="center"/>
    </xf>
    <xf numFmtId="9" fontId="23" fillId="0" borderId="0" xfId="13" applyFont="1" applyFill="1" applyBorder="1"/>
    <xf numFmtId="0" fontId="29" fillId="0" borderId="0" xfId="0" applyFont="1"/>
    <xf numFmtId="0" fontId="29" fillId="6" borderId="4" xfId="0" applyFont="1" applyFill="1" applyBorder="1"/>
    <xf numFmtId="0" fontId="29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29" fillId="0" borderId="0" xfId="0" applyFont="1" applyAlignment="1">
      <alignment vertical="center" wrapText="1"/>
    </xf>
    <xf numFmtId="49" fontId="31" fillId="5" borderId="1" xfId="0" applyNumberFormat="1" applyFont="1" applyFill="1" applyBorder="1" applyAlignment="1">
      <alignment horizontal="center" vertical="center" wrapText="1"/>
    </xf>
    <xf numFmtId="164" fontId="23" fillId="4" borderId="0" xfId="1" applyNumberFormat="1" applyFont="1" applyFill="1" applyBorder="1"/>
    <xf numFmtId="164" fontId="23" fillId="0" borderId="0" xfId="1" applyNumberFormat="1" applyFont="1" applyFill="1" applyBorder="1"/>
    <xf numFmtId="49" fontId="31" fillId="5" borderId="1" xfId="0" applyNumberFormat="1" applyFont="1" applyFill="1" applyBorder="1" applyAlignment="1">
      <alignment horizontal="center" vertical="center"/>
    </xf>
    <xf numFmtId="49" fontId="19" fillId="6" borderId="1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49" fontId="32" fillId="4" borderId="0" xfId="0" applyNumberFormat="1" applyFont="1" applyFill="1" applyAlignment="1">
      <alignment horizontal="left" vertical="center"/>
    </xf>
    <xf numFmtId="0" fontId="29" fillId="0" borderId="0" xfId="0" applyFont="1" applyAlignment="1">
      <alignment horizontal="center"/>
    </xf>
    <xf numFmtId="0" fontId="33" fillId="0" borderId="0" xfId="0" applyFont="1" applyAlignment="1">
      <alignment horizontal="left" indent="1"/>
    </xf>
    <xf numFmtId="0" fontId="33" fillId="0" borderId="0" xfId="0" applyFont="1"/>
    <xf numFmtId="167" fontId="33" fillId="0" borderId="0" xfId="1" applyNumberFormat="1" applyFont="1" applyFill="1" applyBorder="1" applyAlignment="1">
      <alignment horizontal="center"/>
    </xf>
    <xf numFmtId="170" fontId="33" fillId="0" borderId="0" xfId="0" applyNumberFormat="1" applyFont="1"/>
    <xf numFmtId="167" fontId="33" fillId="0" borderId="0" xfId="1" applyNumberFormat="1" applyFont="1" applyFill="1" applyBorder="1"/>
    <xf numFmtId="0" fontId="29" fillId="0" borderId="0" xfId="0" applyFont="1" applyAlignment="1">
      <alignment horizontal="center" vertical="center"/>
    </xf>
    <xf numFmtId="0" fontId="35" fillId="0" borderId="0" xfId="0" applyFont="1"/>
    <xf numFmtId="0" fontId="29" fillId="0" borderId="6" xfId="0" applyFont="1" applyBorder="1" applyAlignment="1">
      <alignment horizontal="center"/>
    </xf>
    <xf numFmtId="49" fontId="33" fillId="0" borderId="0" xfId="9" applyNumberFormat="1" applyFont="1" applyAlignment="1">
      <alignment horizontal="left" vertical="center" indent="1"/>
    </xf>
    <xf numFmtId="167" fontId="29" fillId="0" borderId="0" xfId="0" applyNumberFormat="1" applyFont="1"/>
    <xf numFmtId="49" fontId="34" fillId="0" borderId="0" xfId="9" applyNumberFormat="1" applyFont="1" applyAlignment="1">
      <alignment horizontal="left" vertical="center" indent="1"/>
    </xf>
    <xf numFmtId="9" fontId="36" fillId="0" borderId="0" xfId="13" applyFont="1" applyBorder="1"/>
    <xf numFmtId="9" fontId="36" fillId="0" borderId="0" xfId="13" applyFont="1"/>
    <xf numFmtId="49" fontId="33" fillId="0" borderId="0" xfId="9" applyNumberFormat="1" applyFont="1" applyAlignment="1">
      <alignment horizontal="left" vertical="center" indent="2"/>
    </xf>
    <xf numFmtId="0" fontId="33" fillId="0" borderId="0" xfId="0" applyFont="1" applyAlignment="1">
      <alignment horizontal="left"/>
    </xf>
    <xf numFmtId="167" fontId="23" fillId="0" borderId="0" xfId="1" applyNumberFormat="1" applyFont="1" applyFill="1" applyBorder="1"/>
    <xf numFmtId="168" fontId="23" fillId="0" borderId="0" xfId="13" applyNumberFormat="1" applyFont="1" applyFill="1" applyBorder="1"/>
    <xf numFmtId="9" fontId="33" fillId="0" borderId="0" xfId="13" applyFont="1" applyFill="1" applyBorder="1"/>
    <xf numFmtId="0" fontId="34" fillId="0" borderId="0" xfId="0" applyFont="1" applyAlignment="1">
      <alignment horizontal="left"/>
    </xf>
    <xf numFmtId="167" fontId="22" fillId="0" borderId="0" xfId="1" applyNumberFormat="1" applyFont="1" applyFill="1" applyBorder="1"/>
    <xf numFmtId="49" fontId="32" fillId="5" borderId="3" xfId="0" applyNumberFormat="1" applyFont="1" applyFill="1" applyBorder="1" applyAlignment="1">
      <alignment horizontal="left" vertical="center" indent="1"/>
    </xf>
    <xf numFmtId="49" fontId="23" fillId="0" borderId="0" xfId="0" applyNumberFormat="1" applyFont="1" applyAlignment="1">
      <alignment horizontal="left" vertical="center" indent="1"/>
    </xf>
    <xf numFmtId="0" fontId="21" fillId="0" borderId="0" xfId="0" applyFont="1" applyAlignment="1">
      <alignment vertical="center"/>
    </xf>
    <xf numFmtId="0" fontId="21" fillId="0" borderId="0" xfId="0" applyFont="1"/>
    <xf numFmtId="169" fontId="29" fillId="0" borderId="0" xfId="0" applyNumberFormat="1" applyFont="1"/>
    <xf numFmtId="49" fontId="22" fillId="0" borderId="0" xfId="0" applyNumberFormat="1" applyFont="1" applyAlignment="1">
      <alignment horizontal="left" indent="1"/>
    </xf>
    <xf numFmtId="2" fontId="33" fillId="0" borderId="0" xfId="0" applyNumberFormat="1" applyFont="1"/>
    <xf numFmtId="0" fontId="33" fillId="0" borderId="0" xfId="0" quotePrefix="1" applyFont="1"/>
    <xf numFmtId="49" fontId="19" fillId="0" borderId="0" xfId="0" applyNumberFormat="1" applyFont="1" applyAlignment="1">
      <alignment vertical="center"/>
    </xf>
    <xf numFmtId="49" fontId="37" fillId="4" borderId="0" xfId="0" applyNumberFormat="1" applyFont="1" applyFill="1" applyAlignment="1">
      <alignment horizontal="left" vertical="center"/>
    </xf>
    <xf numFmtId="166" fontId="23" fillId="0" borderId="0" xfId="0" applyNumberFormat="1" applyFont="1" applyAlignment="1">
      <alignment horizontal="left" indent="1"/>
    </xf>
    <xf numFmtId="49" fontId="23" fillId="0" borderId="0" xfId="0" applyNumberFormat="1" applyFont="1" applyAlignment="1">
      <alignment horizontal="left" indent="3"/>
    </xf>
    <xf numFmtId="0" fontId="33" fillId="0" borderId="11" xfId="0" applyFont="1" applyBorder="1" applyAlignment="1">
      <alignment horizontal="left" indent="1"/>
    </xf>
    <xf numFmtId="0" fontId="33" fillId="0" borderId="11" xfId="0" applyFont="1" applyBorder="1"/>
    <xf numFmtId="167" fontId="34" fillId="0" borderId="11" xfId="1" applyNumberFormat="1" applyFont="1" applyFill="1" applyBorder="1"/>
    <xf numFmtId="0" fontId="34" fillId="0" borderId="11" xfId="0" applyFont="1" applyBorder="1"/>
    <xf numFmtId="49" fontId="34" fillId="0" borderId="11" xfId="0" applyNumberFormat="1" applyFont="1" applyBorder="1" applyAlignment="1">
      <alignment horizontal="center" vertical="center"/>
    </xf>
    <xf numFmtId="9" fontId="34" fillId="0" borderId="11" xfId="13" applyFont="1" applyFill="1" applyBorder="1" applyAlignment="1">
      <alignment horizontal="center" vertical="center"/>
    </xf>
    <xf numFmtId="0" fontId="34" fillId="0" borderId="0" xfId="0" applyFont="1"/>
    <xf numFmtId="0" fontId="34" fillId="0" borderId="12" xfId="0" applyFont="1" applyBorder="1"/>
    <xf numFmtId="167" fontId="34" fillId="0" borderId="12" xfId="1" applyNumberFormat="1" applyFont="1" applyFill="1" applyBorder="1"/>
    <xf numFmtId="9" fontId="34" fillId="0" borderId="12" xfId="13" applyFont="1" applyFill="1" applyBorder="1"/>
    <xf numFmtId="49" fontId="34" fillId="0" borderId="12" xfId="9" applyNumberFormat="1" applyFont="1" applyBorder="1" applyAlignment="1">
      <alignment horizontal="left" vertical="center" indent="1"/>
    </xf>
    <xf numFmtId="0" fontId="34" fillId="0" borderId="12" xfId="0" applyFont="1" applyBorder="1" applyAlignment="1">
      <alignment horizontal="left"/>
    </xf>
    <xf numFmtId="167" fontId="22" fillId="0" borderId="12" xfId="1" applyNumberFormat="1" applyFont="1" applyFill="1" applyBorder="1"/>
    <xf numFmtId="168" fontId="22" fillId="0" borderId="12" xfId="13" applyNumberFormat="1" applyFont="1" applyFill="1" applyBorder="1"/>
    <xf numFmtId="49" fontId="34" fillId="0" borderId="12" xfId="9" applyNumberFormat="1" applyFont="1" applyBorder="1" applyAlignment="1">
      <alignment horizontal="left" vertical="center"/>
    </xf>
    <xf numFmtId="0" fontId="34" fillId="0" borderId="12" xfId="0" applyFont="1" applyBorder="1" applyAlignment="1">
      <alignment horizontal="left" vertical="center"/>
    </xf>
    <xf numFmtId="167" fontId="22" fillId="0" borderId="12" xfId="1" applyNumberFormat="1" applyFont="1" applyFill="1" applyBorder="1" applyAlignment="1">
      <alignment vertical="center"/>
    </xf>
    <xf numFmtId="168" fontId="22" fillId="0" borderId="12" xfId="13" applyNumberFormat="1" applyFont="1" applyFill="1" applyBorder="1" applyAlignment="1">
      <alignment vertical="center"/>
    </xf>
    <xf numFmtId="49" fontId="22" fillId="0" borderId="12" xfId="0" applyNumberFormat="1" applyFont="1" applyBorder="1" applyAlignment="1">
      <alignment horizontal="left" indent="1"/>
    </xf>
    <xf numFmtId="164" fontId="22" fillId="0" borderId="12" xfId="1" applyNumberFormat="1" applyFont="1" applyFill="1" applyBorder="1"/>
    <xf numFmtId="49" fontId="22" fillId="0" borderId="13" xfId="0" applyNumberFormat="1" applyFont="1" applyBorder="1" applyAlignment="1">
      <alignment horizontal="left" indent="1"/>
    </xf>
    <xf numFmtId="169" fontId="22" fillId="0" borderId="13" xfId="1" applyNumberFormat="1" applyFont="1" applyFill="1" applyBorder="1"/>
    <xf numFmtId="169" fontId="22" fillId="0" borderId="12" xfId="1" applyNumberFormat="1" applyFont="1" applyFill="1" applyBorder="1"/>
    <xf numFmtId="169" fontId="22" fillId="0" borderId="12" xfId="1" applyNumberFormat="1" applyFont="1" applyFill="1" applyBorder="1" applyAlignment="1">
      <alignment horizontal="center"/>
    </xf>
    <xf numFmtId="9" fontId="22" fillId="0" borderId="12" xfId="13" applyFont="1" applyFill="1" applyBorder="1"/>
    <xf numFmtId="164" fontId="22" fillId="0" borderId="10" xfId="17" applyNumberFormat="1" applyFont="1" applyFill="1" applyBorder="1"/>
    <xf numFmtId="167" fontId="22" fillId="0" borderId="10" xfId="17" applyNumberFormat="1" applyFont="1" applyFill="1" applyBorder="1"/>
    <xf numFmtId="9" fontId="22" fillId="0" borderId="10" xfId="44" applyFont="1" applyFill="1" applyBorder="1"/>
    <xf numFmtId="165" fontId="22" fillId="0" borderId="12" xfId="0" applyNumberFormat="1" applyFont="1" applyBorder="1" applyAlignment="1">
      <alignment horizontal="left" vertical="center" indent="2"/>
    </xf>
    <xf numFmtId="37" fontId="22" fillId="0" borderId="12" xfId="0" applyNumberFormat="1" applyFont="1" applyBorder="1" applyAlignment="1">
      <alignment horizontal="right"/>
    </xf>
    <xf numFmtId="169" fontId="22" fillId="0" borderId="12" xfId="17" applyNumberFormat="1" applyFont="1" applyFill="1" applyBorder="1" applyAlignment="1">
      <alignment vertical="center"/>
    </xf>
    <xf numFmtId="0" fontId="38" fillId="0" borderId="0" xfId="0" applyFont="1"/>
    <xf numFmtId="49" fontId="23" fillId="0" borderId="0" xfId="0" applyNumberFormat="1" applyFont="1" applyAlignment="1">
      <alignment horizontal="left" indent="2"/>
    </xf>
    <xf numFmtId="167" fontId="34" fillId="0" borderId="11" xfId="1" applyNumberFormat="1" applyFont="1" applyFill="1" applyBorder="1" applyAlignment="1">
      <alignment horizontal="center"/>
    </xf>
    <xf numFmtId="170" fontId="34" fillId="0" borderId="11" xfId="0" applyNumberFormat="1" applyFont="1" applyBorder="1"/>
    <xf numFmtId="49" fontId="39" fillId="0" borderId="0" xfId="0" applyNumberFormat="1" applyFont="1" applyAlignment="1">
      <alignment horizontal="left" indent="1"/>
    </xf>
    <xf numFmtId="49" fontId="40" fillId="0" borderId="10" xfId="0" applyNumberFormat="1" applyFont="1" applyBorder="1" applyAlignment="1">
      <alignment horizontal="left" indent="1"/>
    </xf>
    <xf numFmtId="49" fontId="39" fillId="0" borderId="0" xfId="0" applyNumberFormat="1" applyFont="1" applyAlignment="1">
      <alignment horizontal="left"/>
    </xf>
    <xf numFmtId="166" fontId="40" fillId="0" borderId="11" xfId="0" applyNumberFormat="1" applyFont="1" applyBorder="1" applyAlignment="1">
      <alignment horizontal="left"/>
    </xf>
    <xf numFmtId="0" fontId="41" fillId="0" borderId="0" xfId="0" applyFont="1"/>
    <xf numFmtId="0" fontId="42" fillId="0" borderId="0" xfId="0" applyFont="1" applyAlignment="1">
      <alignment horizontal="left" indent="1"/>
    </xf>
    <xf numFmtId="0" fontId="43" fillId="0" borderId="10" xfId="0" applyFont="1" applyBorder="1" applyAlignment="1">
      <alignment horizontal="left" indent="1"/>
    </xf>
    <xf numFmtId="49" fontId="19" fillId="9" borderId="8" xfId="0" applyNumberFormat="1" applyFont="1" applyFill="1" applyBorder="1" applyAlignment="1">
      <alignment horizontal="center" vertical="center"/>
    </xf>
    <xf numFmtId="0" fontId="44" fillId="0" borderId="4" xfId="0" applyFont="1" applyBorder="1"/>
    <xf numFmtId="0" fontId="20" fillId="0" borderId="0" xfId="0" applyFont="1" applyAlignment="1">
      <alignment vertical="center"/>
    </xf>
    <xf numFmtId="49" fontId="19" fillId="0" borderId="0" xfId="0" applyNumberFormat="1" applyFont="1" applyAlignment="1">
      <alignment horizontal="center" vertical="center"/>
    </xf>
    <xf numFmtId="37" fontId="21" fillId="0" borderId="0" xfId="0" applyNumberFormat="1" applyFont="1" applyAlignment="1">
      <alignment horizontal="center" vertical="center"/>
    </xf>
    <xf numFmtId="38" fontId="22" fillId="0" borderId="12" xfId="0" applyNumberFormat="1" applyFont="1" applyBorder="1" applyAlignment="1">
      <alignment horizontal="right"/>
    </xf>
    <xf numFmtId="38" fontId="23" fillId="0" borderId="0" xfId="0" applyNumberFormat="1" applyFont="1" applyAlignment="1">
      <alignment horizontal="right"/>
    </xf>
    <xf numFmtId="171" fontId="22" fillId="0" borderId="12" xfId="17" applyNumberFormat="1" applyFont="1" applyFill="1" applyBorder="1"/>
    <xf numFmtId="171" fontId="23" fillId="0" borderId="0" xfId="17" applyNumberFormat="1" applyFont="1" applyFill="1" applyBorder="1"/>
    <xf numFmtId="49" fontId="19" fillId="9" borderId="8" xfId="0" applyNumberFormat="1" applyFont="1" applyFill="1" applyBorder="1" applyAlignment="1">
      <alignment horizontal="center" vertical="center"/>
    </xf>
    <xf numFmtId="49" fontId="19" fillId="9" borderId="7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10" borderId="0" xfId="0" applyFont="1" applyFill="1" applyAlignment="1">
      <alignment vertical="center"/>
    </xf>
    <xf numFmtId="0" fontId="29" fillId="0" borderId="0" xfId="0" applyFont="1" applyAlignment="1">
      <alignment vertical="center"/>
    </xf>
    <xf numFmtId="49" fontId="19" fillId="9" borderId="0" xfId="0" applyNumberFormat="1" applyFont="1" applyFill="1" applyAlignment="1">
      <alignment horizontal="center" vertical="center"/>
    </xf>
    <xf numFmtId="49" fontId="2" fillId="5" borderId="3" xfId="0" applyNumberFormat="1" applyFont="1" applyFill="1" applyBorder="1" applyAlignment="1">
      <alignment horizontal="center" vertical="center"/>
    </xf>
    <xf numFmtId="49" fontId="2" fillId="5" borderId="5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72" fontId="23" fillId="0" borderId="0" xfId="0" applyNumberFormat="1" applyFont="1" applyAlignment="1">
      <alignment horizontal="left" indent="2"/>
    </xf>
    <xf numFmtId="172" fontId="22" fillId="0" borderId="12" xfId="0" applyNumberFormat="1" applyFont="1" applyBorder="1" applyAlignment="1">
      <alignment horizontal="left" indent="1"/>
    </xf>
    <xf numFmtId="172" fontId="22" fillId="0" borderId="12" xfId="0" applyNumberFormat="1" applyFont="1" applyBorder="1" applyAlignment="1">
      <alignment horizontal="left"/>
    </xf>
    <xf numFmtId="173" fontId="23" fillId="0" borderId="0" xfId="0" applyNumberFormat="1" applyFont="1" applyAlignment="1">
      <alignment horizontal="left" indent="3"/>
    </xf>
    <xf numFmtId="173" fontId="22" fillId="0" borderId="12" xfId="0" applyNumberFormat="1" applyFont="1" applyBorder="1" applyAlignment="1">
      <alignment horizontal="left" indent="1"/>
    </xf>
    <xf numFmtId="172" fontId="23" fillId="0" borderId="0" xfId="0" applyNumberFormat="1" applyFont="1" applyAlignment="1">
      <alignment horizontal="left" vertical="center" indent="2"/>
    </xf>
    <xf numFmtId="172" fontId="22" fillId="0" borderId="12" xfId="0" applyNumberFormat="1" applyFont="1" applyBorder="1" applyAlignment="1">
      <alignment horizontal="left" vertical="center" indent="1"/>
    </xf>
    <xf numFmtId="172" fontId="22" fillId="0" borderId="12" xfId="0" applyNumberFormat="1" applyFont="1" applyBorder="1" applyAlignment="1">
      <alignment horizontal="left" vertical="center"/>
    </xf>
    <xf numFmtId="173" fontId="23" fillId="0" borderId="0" xfId="0" applyNumberFormat="1" applyFont="1" applyAlignment="1">
      <alignment horizontal="left" vertical="center" indent="3"/>
    </xf>
    <xf numFmtId="173" fontId="22" fillId="0" borderId="12" xfId="0" applyNumberFormat="1" applyFont="1" applyBorder="1" applyAlignment="1">
      <alignment horizontal="left" vertical="center" indent="1"/>
    </xf>
    <xf numFmtId="0" fontId="45" fillId="0" borderId="0" xfId="0" applyFont="1"/>
  </cellXfs>
  <cellStyles count="45">
    <cellStyle name="Calculated Column - IBM Cognos" xfId="18" xr:uid="{00000000-0005-0000-0000-000000000000}"/>
    <cellStyle name="Calculated Column Name - IBM Cognos" xfId="19" xr:uid="{00000000-0005-0000-0000-000001000000}"/>
    <cellStyle name="Calculated Row - IBM Cognos" xfId="20" xr:uid="{00000000-0005-0000-0000-000002000000}"/>
    <cellStyle name="Calculated Row Name - IBM Cognos" xfId="21" xr:uid="{00000000-0005-0000-0000-000003000000}"/>
    <cellStyle name="Column Name - IBM Cognos" xfId="22" xr:uid="{00000000-0005-0000-0000-000004000000}"/>
    <cellStyle name="Column Template - IBM Cognos" xfId="23" xr:uid="{00000000-0005-0000-0000-000005000000}"/>
    <cellStyle name="Comma" xfId="1" builtinId="3"/>
    <cellStyle name="Comma [0] 2" xfId="2" xr:uid="{00000000-0005-0000-0000-000007000000}"/>
    <cellStyle name="Comma [0] 3" xfId="3" xr:uid="{00000000-0005-0000-0000-000008000000}"/>
    <cellStyle name="Comma 2" xfId="4" xr:uid="{00000000-0005-0000-0000-000009000000}"/>
    <cellStyle name="Comma 3" xfId="5" xr:uid="{00000000-0005-0000-0000-00000A000000}"/>
    <cellStyle name="Comma 4" xfId="6" xr:uid="{00000000-0005-0000-0000-00000B000000}"/>
    <cellStyle name="Comma 5" xfId="7" xr:uid="{00000000-0005-0000-0000-00000C000000}"/>
    <cellStyle name="Comma 6" xfId="17" xr:uid="{00000000-0005-0000-0000-00000D000000}"/>
    <cellStyle name="Currency 2" xfId="8" xr:uid="{00000000-0005-0000-0000-00000E000000}"/>
    <cellStyle name="Differs From Base - IBM Cognos" xfId="24" xr:uid="{00000000-0005-0000-0000-00000F000000}"/>
    <cellStyle name="Group Name - IBM Cognos" xfId="25" xr:uid="{00000000-0005-0000-0000-000010000000}"/>
    <cellStyle name="Hold Values - IBM Cognos" xfId="26" xr:uid="{00000000-0005-0000-0000-000011000000}"/>
    <cellStyle name="List Name - IBM Cognos" xfId="27" xr:uid="{00000000-0005-0000-0000-000012000000}"/>
    <cellStyle name="Locked - IBM Cognos" xfId="28" xr:uid="{00000000-0005-0000-0000-000013000000}"/>
    <cellStyle name="Measure - IBM Cognos" xfId="29" xr:uid="{00000000-0005-0000-0000-000014000000}"/>
    <cellStyle name="Measure Header - IBM Cognos" xfId="30" xr:uid="{00000000-0005-0000-0000-000015000000}"/>
    <cellStyle name="Measure Name - IBM Cognos" xfId="31" xr:uid="{00000000-0005-0000-0000-000016000000}"/>
    <cellStyle name="Measure Summary - IBM Cognos" xfId="32" xr:uid="{00000000-0005-0000-0000-000017000000}"/>
    <cellStyle name="Measure Summary TM1 - IBM Cognos" xfId="33" xr:uid="{00000000-0005-0000-0000-000018000000}"/>
    <cellStyle name="Measure Template - IBM Cognos" xfId="34" xr:uid="{00000000-0005-0000-0000-000019000000}"/>
    <cellStyle name="More - IBM Cognos" xfId="35" xr:uid="{00000000-0005-0000-0000-00001A000000}"/>
    <cellStyle name="Normal" xfId="0" builtinId="0"/>
    <cellStyle name="Normal 2" xfId="9" xr:uid="{00000000-0005-0000-0000-00001C000000}"/>
    <cellStyle name="Normal 3" xfId="10" xr:uid="{00000000-0005-0000-0000-00001D000000}"/>
    <cellStyle name="Normal 4" xfId="11" xr:uid="{00000000-0005-0000-0000-00001E000000}"/>
    <cellStyle name="Normal 5" xfId="12" xr:uid="{00000000-0005-0000-0000-00001F000000}"/>
    <cellStyle name="Pending Change - IBM Cognos" xfId="36" xr:uid="{00000000-0005-0000-0000-000020000000}"/>
    <cellStyle name="Percent" xfId="13" builtinId="5"/>
    <cellStyle name="Percent 2" xfId="14" xr:uid="{00000000-0005-0000-0000-000022000000}"/>
    <cellStyle name="Percent 3" xfId="15" xr:uid="{00000000-0005-0000-0000-000023000000}"/>
    <cellStyle name="Percent 4" xfId="16" xr:uid="{00000000-0005-0000-0000-000024000000}"/>
    <cellStyle name="Percent 5" xfId="44" xr:uid="{00000000-0005-0000-0000-000025000000}"/>
    <cellStyle name="Row Name - IBM Cognos" xfId="37" xr:uid="{00000000-0005-0000-0000-000026000000}"/>
    <cellStyle name="Row Template - IBM Cognos" xfId="38" xr:uid="{00000000-0005-0000-0000-000027000000}"/>
    <cellStyle name="Summary Column Name - IBM Cognos" xfId="39" xr:uid="{00000000-0005-0000-0000-000028000000}"/>
    <cellStyle name="Summary Column Name TM1 - IBM Cognos" xfId="40" xr:uid="{00000000-0005-0000-0000-000029000000}"/>
    <cellStyle name="Summary Row Name - IBM Cognos" xfId="41" xr:uid="{00000000-0005-0000-0000-00002A000000}"/>
    <cellStyle name="Summary Row Name TM1 - IBM Cognos" xfId="42" xr:uid="{00000000-0005-0000-0000-00002B000000}"/>
    <cellStyle name="Unsaved Change - IBM Cognos" xfId="43" xr:uid="{00000000-0005-0000-0000-00002C000000}"/>
  </cellStyles>
  <dxfs count="10">
    <dxf>
      <fill>
        <patternFill patternType="solid">
          <fgColor auto="1"/>
          <bgColor rgb="FFF3AB40"/>
        </patternFill>
      </fill>
    </dxf>
    <dxf>
      <fill>
        <patternFill>
          <bgColor rgb="FF8BC43F"/>
        </patternFill>
      </fill>
    </dxf>
    <dxf>
      <fill>
        <patternFill>
          <bgColor indexed="50"/>
        </patternFill>
      </fill>
    </dxf>
    <dxf>
      <fill>
        <patternFill patternType="solid">
          <fgColor auto="1"/>
          <bgColor rgb="FFF3AB40"/>
        </patternFill>
      </fill>
    </dxf>
    <dxf>
      <fill>
        <patternFill>
          <bgColor rgb="FF8BC43F"/>
        </patternFill>
      </fill>
    </dxf>
    <dxf>
      <fill>
        <patternFill>
          <bgColor indexed="21"/>
        </patternFill>
      </fill>
    </dxf>
    <dxf>
      <fill>
        <patternFill>
          <bgColor rgb="FFF9F9F9"/>
        </patternFill>
      </fill>
    </dxf>
    <dxf>
      <fill>
        <patternFill>
          <bgColor rgb="FFF9F9F9"/>
        </patternFill>
      </fill>
    </dxf>
    <dxf>
      <fill>
        <patternFill>
          <bgColor rgb="FFF9F9F9"/>
        </patternFill>
      </fill>
    </dxf>
    <dxf>
      <fill>
        <patternFill>
          <bgColor rgb="FFF9F9F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A589C"/>
      <rgbColor rgb="00888FAC"/>
      <rgbColor rgb="000000FF"/>
      <rgbColor rgb="00830E17"/>
      <rgbColor rgb="00CDB79E"/>
      <rgbColor rgb="0095B3D7"/>
      <rgbColor rgb="00800000"/>
      <rgbColor rgb="000F3F6A"/>
      <rgbColor rgb="00000080"/>
      <rgbColor rgb="00808000"/>
      <rgbColor rgb="00800080"/>
      <rgbColor rgb="00DBE5F1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8F8F8"/>
      <rgbColor rgb="00B7D2EC"/>
      <rgbColor rgb="00E7E5E5"/>
      <rgbColor rgb="003366FF"/>
      <rgbColor rgb="00B8CCE4"/>
      <rgbColor rgb="00E5E5E5"/>
      <rgbColor rgb="00B6DDF1"/>
      <rgbColor rgb="0099AACC"/>
      <rgbColor rgb="00E56565"/>
      <rgbColor rgb="00666699"/>
      <rgbColor rgb="00969696"/>
      <rgbColor rgb="0039CF08"/>
      <rgbColor rgb="00FFFAFA"/>
      <rgbColor rgb="00D6595A"/>
      <rgbColor rgb="00DAD8D8"/>
      <rgbColor rgb="00993300"/>
      <rgbColor rgb="00DFEEFA"/>
      <rgbColor rgb="00333399"/>
      <rgbColor rgb="00333333"/>
    </indexedColors>
    <mruColors>
      <color rgb="FF7F7F7F"/>
      <color rgb="FF959595"/>
      <color rgb="FFF9F9F9"/>
      <color rgb="FFF2F2F2"/>
      <color rgb="FF66CBFD"/>
      <color rgb="FF8BC43F"/>
      <color rgb="FFF3AB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PL!$L$63</c:f>
              <c:strCache>
                <c:ptCount val="1"/>
                <c:pt idx="0">
                  <c:v>+ 6099 PAYROLL</c:v>
                </c:pt>
              </c:strCache>
            </c:strRef>
          </c:tx>
          <c:spPr>
            <a:solidFill>
              <a:srgbClr val="F3AB40"/>
            </a:solidFill>
            <a:ln>
              <a:noFill/>
            </a:ln>
          </c:spPr>
          <c:invertIfNegative val="0"/>
          <c:cat>
            <c:strRef>
              <c:f>PL!$M$62:$P$62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PL!$M$63:$P$63</c:f>
              <c:numCache>
                <c:formatCode>#,##0_);\(#,##0\)</c:formatCode>
                <c:ptCount val="4"/>
                <c:pt idx="0">
                  <c:v>176432.14558110732</c:v>
                </c:pt>
                <c:pt idx="1">
                  <c:v>187150.53258920254</c:v>
                </c:pt>
                <c:pt idx="2">
                  <c:v>175431.9805628013</c:v>
                </c:pt>
                <c:pt idx="3">
                  <c:v>149397.9348433321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F-4455-894B-2A5C9B381628}"/>
            </c:ext>
          </c:extLst>
        </c:ser>
        <c:ser>
          <c:idx val="1"/>
          <c:order val="1"/>
          <c:tx>
            <c:strRef>
              <c:f>PL!$L$64</c:f>
              <c:strCache>
                <c:ptCount val="1"/>
                <c:pt idx="0">
                  <c:v>+ 6199 OFFICE EXPENSE</c:v>
                </c:pt>
              </c:strCache>
            </c:strRef>
          </c:tx>
          <c:spPr>
            <a:solidFill>
              <a:srgbClr val="8BC43F"/>
            </a:solidFill>
            <a:ln>
              <a:noFill/>
            </a:ln>
          </c:spPr>
          <c:invertIfNegative val="0"/>
          <c:cat>
            <c:strRef>
              <c:f>PL!$M$62:$P$62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PL!$M$64:$P$64</c:f>
              <c:numCache>
                <c:formatCode>#,##0_);\(#,##0\)</c:formatCode>
                <c:ptCount val="4"/>
                <c:pt idx="0">
                  <c:v>19900.939999999999</c:v>
                </c:pt>
                <c:pt idx="1">
                  <c:v>19766.939999999999</c:v>
                </c:pt>
                <c:pt idx="2">
                  <c:v>19766.939999999999</c:v>
                </c:pt>
                <c:pt idx="3">
                  <c:v>19766.939999999999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2F-4455-894B-2A5C9B381628}"/>
            </c:ext>
          </c:extLst>
        </c:ser>
        <c:ser>
          <c:idx val="2"/>
          <c:order val="2"/>
          <c:tx>
            <c:strRef>
              <c:f>PL!$L$65</c:f>
              <c:strCache>
                <c:ptCount val="1"/>
                <c:pt idx="0">
                  <c:v>+ 6299 TRAVEL</c:v>
                </c:pt>
              </c:strCache>
            </c:strRef>
          </c:tx>
          <c:spPr>
            <a:solidFill>
              <a:srgbClr val="66CBFD"/>
            </a:solidFill>
            <a:ln>
              <a:noFill/>
            </a:ln>
          </c:spPr>
          <c:invertIfNegative val="0"/>
          <c:cat>
            <c:strRef>
              <c:f>PL!$M$62:$P$62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PL!$M$65:$P$65</c:f>
              <c:numCache>
                <c:formatCode>#,##0_);\(#,##0\)</c:formatCode>
                <c:ptCount val="4"/>
                <c:pt idx="0">
                  <c:v>11307</c:v>
                </c:pt>
                <c:pt idx="1">
                  <c:v>11307</c:v>
                </c:pt>
                <c:pt idx="2">
                  <c:v>11307</c:v>
                </c:pt>
                <c:pt idx="3">
                  <c:v>11307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2F-4455-894B-2A5C9B381628}"/>
            </c:ext>
          </c:extLst>
        </c:ser>
        <c:ser>
          <c:idx val="3"/>
          <c:order val="3"/>
          <c:tx>
            <c:strRef>
              <c:f>PL!$L$66</c:f>
              <c:strCache>
                <c:ptCount val="1"/>
                <c:pt idx="0">
                  <c:v>+ 6399 OCCUPANCY</c:v>
                </c:pt>
              </c:strCache>
            </c:strRef>
          </c:tx>
          <c:invertIfNegative val="0"/>
          <c:cat>
            <c:strRef>
              <c:f>PL!$M$62:$P$62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PL!$M$66:$P$66</c:f>
              <c:numCache>
                <c:formatCode>#,##0_);\(#,##0\)</c:formatCode>
                <c:ptCount val="4"/>
                <c:pt idx="0">
                  <c:v>40714.28571428571</c:v>
                </c:pt>
                <c:pt idx="1">
                  <c:v>168571.42857142858</c:v>
                </c:pt>
                <c:pt idx="2">
                  <c:v>52500</c:v>
                </c:pt>
                <c:pt idx="3">
                  <c:v>68214.28571428571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2F-4455-894B-2A5C9B381628}"/>
            </c:ext>
          </c:extLst>
        </c:ser>
        <c:ser>
          <c:idx val="4"/>
          <c:order val="4"/>
          <c:tx>
            <c:strRef>
              <c:f>PL!$L$67</c:f>
              <c:strCache>
                <c:ptCount val="1"/>
                <c:pt idx="0">
                  <c:v>+ 6499 MARKETING</c:v>
                </c:pt>
              </c:strCache>
            </c:strRef>
          </c:tx>
          <c:invertIfNegative val="0"/>
          <c:cat>
            <c:strRef>
              <c:f>PL!$M$62:$P$62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PL!$M$67:$P$67</c:f>
              <c:numCache>
                <c:formatCode>#,##0_);\(#,##0\)</c:formatCode>
                <c:ptCount val="4"/>
                <c:pt idx="0">
                  <c:v>599621.80174668611</c:v>
                </c:pt>
                <c:pt idx="1">
                  <c:v>28096.068807420859</c:v>
                </c:pt>
                <c:pt idx="2">
                  <c:v>26767.10073785374</c:v>
                </c:pt>
                <c:pt idx="3">
                  <c:v>26825.828708039262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2F-4455-894B-2A5C9B381628}"/>
            </c:ext>
          </c:extLst>
        </c:ser>
        <c:ser>
          <c:idx val="5"/>
          <c:order val="5"/>
          <c:tx>
            <c:strRef>
              <c:f>PL!$L$68</c:f>
              <c:strCache>
                <c:ptCount val="1"/>
                <c:pt idx="0">
                  <c:v>+ 6599 DEPRECIATION</c:v>
                </c:pt>
              </c:strCache>
            </c:strRef>
          </c:tx>
          <c:invertIfNegative val="0"/>
          <c:cat>
            <c:strRef>
              <c:f>PL!$M$62:$P$62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PL!$M$68:$P$68</c:f>
              <c:numCache>
                <c:formatCode>#,##0_);\(#,##0\)</c:formatCode>
                <c:ptCount val="4"/>
                <c:pt idx="0">
                  <c:v>250</c:v>
                </c:pt>
                <c:pt idx="1">
                  <c:v>30208.333333333332</c:v>
                </c:pt>
                <c:pt idx="2">
                  <c:v>54750</c:v>
                </c:pt>
                <c:pt idx="3">
                  <c:v>85375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2F-4455-894B-2A5C9B381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888768"/>
        <c:axId val="63890560"/>
      </c:barChart>
      <c:catAx>
        <c:axId val="638887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7F7F7F"/>
                </a:solidFill>
              </a:defRPr>
            </a:pPr>
            <a:endParaRPr lang="en-US"/>
          </a:p>
        </c:txPr>
        <c:crossAx val="63890560"/>
        <c:crosses val="autoZero"/>
        <c:auto val="1"/>
        <c:lblAlgn val="ctr"/>
        <c:lblOffset val="100"/>
        <c:noMultiLvlLbl val="0"/>
      </c:catAx>
      <c:valAx>
        <c:axId val="6389056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solidFill>
              <a:srgbClr val="7F7F7F"/>
            </a:solidFill>
          </a:ln>
        </c:spPr>
        <c:txPr>
          <a:bodyPr/>
          <a:lstStyle/>
          <a:p>
            <a:pPr>
              <a:defRPr baseline="0">
                <a:solidFill>
                  <a:srgbClr val="7F7F7F"/>
                </a:solidFill>
              </a:defRPr>
            </a:pPr>
            <a:endParaRPr lang="en-US"/>
          </a:p>
        </c:txPr>
        <c:crossAx val="63888768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baseline="0">
              <a:solidFill>
                <a:srgbClr val="7F7F7F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FcstDetail!$C$11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3AB40"/>
            </a:solidFill>
            <a:ln w="25400">
              <a:noFill/>
            </a:ln>
          </c:spPr>
          <c:invertIfNegative val="0"/>
          <c:cat>
            <c:strRef>
              <c:f>FcstDetail!$E$9:$P$9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FcstDetail!$E$11:$P$11</c:f>
              <c:numCache>
                <c:formatCode>_(* #,##0_);_(* \(#,##0\);_(* "-"??_);_(@_)</c:formatCode>
                <c:ptCount val="12"/>
                <c:pt idx="0">
                  <c:v>458462.21983138006</c:v>
                </c:pt>
                <c:pt idx="1">
                  <c:v>547920.0559893212</c:v>
                </c:pt>
                <c:pt idx="2">
                  <c:v>702486.12825806753</c:v>
                </c:pt>
                <c:pt idx="3">
                  <c:v>653076.79096147476</c:v>
                </c:pt>
                <c:pt idx="4">
                  <c:v>633421.37545085023</c:v>
                </c:pt>
                <c:pt idx="5">
                  <c:v>539394.99250596447</c:v>
                </c:pt>
                <c:pt idx="6">
                  <c:v>534003.87515927618</c:v>
                </c:pt>
                <c:pt idx="7">
                  <c:v>501258.51431586803</c:v>
                </c:pt>
                <c:pt idx="8">
                  <c:v>448895.92809127347</c:v>
                </c:pt>
                <c:pt idx="9">
                  <c:v>584128.88317425421</c:v>
                </c:pt>
                <c:pt idx="10">
                  <c:v>748333.24335003842</c:v>
                </c:pt>
                <c:pt idx="11">
                  <c:v>733639.7676617651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A-4556-9512-CE357F77F5E4}"/>
            </c:ext>
          </c:extLst>
        </c:ser>
        <c:ser>
          <c:idx val="1"/>
          <c:order val="1"/>
          <c:tx>
            <c:strRef>
              <c:f>FcstDetail!$C$12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66CBFD"/>
            </a:solidFill>
            <a:ln w="25400">
              <a:noFill/>
            </a:ln>
          </c:spPr>
          <c:invertIfNegative val="0"/>
          <c:cat>
            <c:strRef>
              <c:f>FcstDetail!$E$9:$P$9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FcstDetail!$E$12:$P$12</c:f>
              <c:numCache>
                <c:formatCode>_(* #,##0_);_(* \(#,##0\);_(* "-"??_);_(@_)</c:formatCode>
                <c:ptCount val="12"/>
                <c:pt idx="0">
                  <c:v>1519216.5039452654</c:v>
                </c:pt>
                <c:pt idx="1">
                  <c:v>9714163.2525881901</c:v>
                </c:pt>
                <c:pt idx="2">
                  <c:v>976291.84015917894</c:v>
                </c:pt>
                <c:pt idx="3">
                  <c:v>894887.03901207563</c:v>
                </c:pt>
                <c:pt idx="4">
                  <c:v>802150.82692976389</c:v>
                </c:pt>
                <c:pt idx="5">
                  <c:v>1040327.1658535167</c:v>
                </c:pt>
                <c:pt idx="6">
                  <c:v>3505016.7031266429</c:v>
                </c:pt>
                <c:pt idx="7">
                  <c:v>3206024.536048322</c:v>
                </c:pt>
                <c:pt idx="8">
                  <c:v>3019025.5399618512</c:v>
                </c:pt>
                <c:pt idx="9">
                  <c:v>1022896.292876634</c:v>
                </c:pt>
                <c:pt idx="10">
                  <c:v>999247.65984553122</c:v>
                </c:pt>
                <c:pt idx="11">
                  <c:v>955495.29065098532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DA-4556-9512-CE357F77F5E4}"/>
            </c:ext>
          </c:extLst>
        </c:ser>
        <c:ser>
          <c:idx val="2"/>
          <c:order val="2"/>
          <c:tx>
            <c:strRef>
              <c:f>FcstDetail!$C$13</c:f>
              <c:strCache>
                <c:ptCount val="1"/>
                <c:pt idx="0">
                  <c:v>Forecast</c:v>
                </c:pt>
              </c:strCache>
            </c:strRef>
          </c:tx>
          <c:spPr>
            <a:solidFill>
              <a:srgbClr val="8BC43F"/>
            </a:solidFill>
            <a:ln w="25400">
              <a:noFill/>
            </a:ln>
          </c:spPr>
          <c:invertIfNegative val="0"/>
          <c:cat>
            <c:strRef>
              <c:f>FcstDetail!$E$9:$P$9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FcstDetail!$E$13:$P$13</c:f>
              <c:numCache>
                <c:formatCode>_(* #,##0_);_(* \(#,##0\);_(* "-"??_);_(@_)</c:formatCode>
                <c:ptCount val="12"/>
                <c:pt idx="0">
                  <c:v>458462.21983138006</c:v>
                </c:pt>
                <c:pt idx="1">
                  <c:v>547920.0559893212</c:v>
                </c:pt>
                <c:pt idx="2">
                  <c:v>702486.12825806753</c:v>
                </c:pt>
                <c:pt idx="3">
                  <c:v>653076.79096147476</c:v>
                </c:pt>
                <c:pt idx="4">
                  <c:v>633421.37545085023</c:v>
                </c:pt>
                <c:pt idx="5">
                  <c:v>539394.99250596447</c:v>
                </c:pt>
                <c:pt idx="6">
                  <c:v>6652729.961079454</c:v>
                </c:pt>
                <c:pt idx="7">
                  <c:v>6085225.0626646681</c:v>
                </c:pt>
                <c:pt idx="8">
                  <c:v>5730289.8571215719</c:v>
                </c:pt>
                <c:pt idx="9">
                  <c:v>1941517.9415912793</c:v>
                </c:pt>
                <c:pt idx="10">
                  <c:v>1896631.4309608901</c:v>
                </c:pt>
                <c:pt idx="11">
                  <c:v>1813586.8345830424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DA-4556-9512-CE357F77F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678720"/>
        <c:axId val="90629248"/>
      </c:barChart>
      <c:catAx>
        <c:axId val="85678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7F7F7F"/>
                </a:solidFill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90629248"/>
        <c:crosses val="autoZero"/>
        <c:auto val="1"/>
        <c:lblAlgn val="ctr"/>
        <c:lblOffset val="100"/>
        <c:noMultiLvlLbl val="0"/>
      </c:catAx>
      <c:valAx>
        <c:axId val="9062924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solidFill>
              <a:srgbClr val="7F7F7F"/>
            </a:solidFill>
          </a:ln>
        </c:spPr>
        <c:txPr>
          <a:bodyPr/>
          <a:lstStyle/>
          <a:p>
            <a:pPr>
              <a:defRPr sz="800">
                <a:solidFill>
                  <a:srgbClr val="7F7F7F"/>
                </a:solidFill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85678720"/>
        <c:crosses val="autoZero"/>
        <c:crossBetween val="between"/>
        <c:majorUnit val="200000"/>
      </c:valAx>
      <c:spPr>
        <a:noFill/>
      </c:spPr>
    </c:plotArea>
    <c:legend>
      <c:legendPos val="r"/>
      <c:overlay val="0"/>
      <c:txPr>
        <a:bodyPr/>
        <a:lstStyle/>
        <a:p>
          <a:pPr algn="ctr">
            <a:defRPr lang="en-US" sz="800" b="0" i="0" u="none" strike="noStrike" kern="1200" baseline="0">
              <a:solidFill>
                <a:srgbClr val="7F7F7F"/>
              </a:solidFill>
              <a:latin typeface="Arial" pitchFamily="34" charset="0"/>
              <a:ea typeface="+mn-ea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file:///C:\TM1Models\SmartCo\Reports\Logo\logo.png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790574</xdr:colOff>
      <xdr:row>28</xdr:row>
      <xdr:rowOff>142874</xdr:rowOff>
    </xdr:from>
    <xdr:to>
      <xdr:col>6</xdr:col>
      <xdr:colOff>1009649</xdr:colOff>
      <xdr:row>40</xdr:row>
      <xdr:rowOff>104775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323850</xdr:colOff>
          <xdr:row>10</xdr:row>
          <xdr:rowOff>47625</xdr:rowOff>
        </xdr:from>
        <xdr:to>
          <xdr:col>11</xdr:col>
          <xdr:colOff>1066800</xdr:colOff>
          <xdr:row>10</xdr:row>
          <xdr:rowOff>304800</xdr:rowOff>
        </xdr:to>
        <xdr:sp macro="" textlink="">
          <xdr:nvSpPr>
            <xdr:cNvPr id="5121" name="TIButton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2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8F8F8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0</xdr:colOff>
      <xdr:row>1</xdr:row>
      <xdr:rowOff>190500</xdr:rowOff>
    </xdr:to>
    <xdr:pic>
      <xdr:nvPicPr>
        <xdr:cNvPr id="27729" name="Picture 1" descr="C:\TM1Models\SmartCo\Reports\Logo\logo.png">
          <a:extLst>
            <a:ext uri="{FF2B5EF4-FFF2-40B4-BE49-F238E27FC236}">
              <a16:creationId xmlns:a16="http://schemas.microsoft.com/office/drawing/2014/main" id="{00000000-0008-0000-0500-0000516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5450" y="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323849</xdr:colOff>
      <xdr:row>14</xdr:row>
      <xdr:rowOff>114301</xdr:rowOff>
    </xdr:from>
    <xdr:to>
      <xdr:col>17</xdr:col>
      <xdr:colOff>38098</xdr:colOff>
      <xdr:row>27</xdr:row>
      <xdr:rowOff>104776</xdr:rowOff>
    </xdr:to>
    <xdr:graphicFrame macro="">
      <xdr:nvGraphicFramePr>
        <xdr:cNvPr id="15467" name="Chart 1">
          <a:extLst>
            <a:ext uri="{FF2B5EF4-FFF2-40B4-BE49-F238E27FC236}">
              <a16:creationId xmlns:a16="http://schemas.microsoft.com/office/drawing/2014/main" id="{00000000-0008-0000-0700-00006B3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38100</xdr:rowOff>
    </xdr:from>
    <xdr:to>
      <xdr:col>2</xdr:col>
      <xdr:colOff>161925</xdr:colOff>
      <xdr:row>2</xdr:row>
      <xdr:rowOff>0</xdr:rowOff>
    </xdr:to>
    <xdr:pic>
      <xdr:nvPicPr>
        <xdr:cNvPr id="13361" name="Picture 2">
          <a:extLst>
            <a:ext uri="{FF2B5EF4-FFF2-40B4-BE49-F238E27FC236}">
              <a16:creationId xmlns:a16="http://schemas.microsoft.com/office/drawing/2014/main" id="{00000000-0008-0000-0C00-000031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8100"/>
          <a:ext cx="13049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34"/>
  <sheetViews>
    <sheetView showGridLines="0" tabSelected="1" workbookViewId="0">
      <pane ySplit="16" topLeftCell="A17" activePane="bottomLeft" state="frozen"/>
      <selection activeCell="B10" sqref="B10"/>
      <selection pane="bottomLeft"/>
    </sheetView>
  </sheetViews>
  <sheetFormatPr defaultRowHeight="14.25" x14ac:dyDescent="0.2"/>
  <cols>
    <col min="1" max="1" width="2.7109375" style="40" hidden="1" customWidth="1"/>
    <col min="2" max="2" width="1.28515625" style="40" customWidth="1"/>
    <col min="3" max="3" width="28.85546875" style="40" customWidth="1"/>
    <col min="4" max="8" width="12.42578125" style="40" customWidth="1"/>
    <col min="9" max="9" width="41.140625" style="40" customWidth="1"/>
    <col min="10" max="16384" width="9.140625" style="40"/>
  </cols>
  <sheetData>
    <row r="1" spans="1:10" hidden="1" x14ac:dyDescent="0.2">
      <c r="A1" s="40" t="s">
        <v>11</v>
      </c>
    </row>
    <row r="2" spans="1:10" hidden="1" x14ac:dyDescent="0.2">
      <c r="A2" s="40">
        <f>0</f>
        <v>0</v>
      </c>
      <c r="C2" s="113"/>
      <c r="D2" s="114"/>
      <c r="E2" s="114"/>
      <c r="F2" s="114"/>
      <c r="G2" s="132"/>
      <c r="H2" s="134"/>
      <c r="I2" s="115"/>
    </row>
    <row r="3" spans="1:10" hidden="1" x14ac:dyDescent="0.2">
      <c r="A3" s="40">
        <f>1</f>
        <v>1</v>
      </c>
      <c r="C3" s="113"/>
      <c r="D3" s="114"/>
      <c r="E3" s="114"/>
      <c r="F3" s="114"/>
      <c r="G3" s="132"/>
      <c r="H3" s="134"/>
      <c r="I3" s="115"/>
    </row>
    <row r="4" spans="1:10" hidden="1" x14ac:dyDescent="0.2">
      <c r="A4" s="40">
        <f>2</f>
        <v>2</v>
      </c>
      <c r="C4" s="26"/>
      <c r="D4" s="29"/>
      <c r="E4" s="29"/>
      <c r="F4" s="29"/>
      <c r="G4" s="133"/>
      <c r="H4" s="135">
        <v>50</v>
      </c>
      <c r="I4" s="46"/>
    </row>
    <row r="5" spans="1:10" hidden="1" x14ac:dyDescent="0.2">
      <c r="A5" s="40">
        <f>3</f>
        <v>3</v>
      </c>
      <c r="C5" s="26"/>
      <c r="D5" s="29"/>
      <c r="E5" s="29"/>
      <c r="F5" s="29"/>
      <c r="G5" s="133"/>
      <c r="H5" s="135"/>
      <c r="I5" s="46"/>
    </row>
    <row r="6" spans="1:10" hidden="1" x14ac:dyDescent="0.2">
      <c r="A6" s="40" t="s">
        <v>9</v>
      </c>
      <c r="C6" s="26"/>
      <c r="D6" s="29"/>
      <c r="E6" s="29"/>
      <c r="F6" s="29"/>
      <c r="G6" s="133"/>
      <c r="H6" s="135"/>
      <c r="I6" s="46"/>
    </row>
    <row r="7" spans="1:10" hidden="1" x14ac:dyDescent="0.2">
      <c r="A7" s="40" t="s">
        <v>10</v>
      </c>
      <c r="C7" s="26"/>
      <c r="D7" s="29"/>
      <c r="E7" s="29"/>
      <c r="F7" s="29"/>
      <c r="G7" s="133"/>
      <c r="H7" s="135"/>
      <c r="I7" s="47"/>
    </row>
    <row r="8" spans="1:10" hidden="1" x14ac:dyDescent="0.2">
      <c r="A8" s="40" t="s">
        <v>12</v>
      </c>
      <c r="G8" s="40">
        <f>VLOOKUP($I$13,Lookup!$D$2:$E$3,2,0)</f>
        <v>0</v>
      </c>
    </row>
    <row r="9" spans="1:10" hidden="1" x14ac:dyDescent="0.2">
      <c r="C9" s="40" t="str">
        <f>_xll.TM1RPTVIEW("region06:Income Statement:1", $G$8, _xll.TM1RPTTITLE("region06:Currency Calc",$D$13), _xll.TM1RPTTITLE("region06:organization",$C$13), _xll.TM1RPTTITLE("region06:Year",$F$13), _xll.TM1RPTTITLE("region06:Month",$H$13),TM1RPTFMTRNG,TM1RPTFMTIDCOL)</f>
        <v>region06:Income Statement:1</v>
      </c>
    </row>
    <row r="10" spans="1:10" ht="24" customHeight="1" thickBot="1" x14ac:dyDescent="0.25">
      <c r="A10" s="41"/>
      <c r="B10" s="129"/>
      <c r="C10" s="22" t="s">
        <v>261</v>
      </c>
      <c r="D10" s="22"/>
      <c r="E10" s="22"/>
      <c r="F10" s="22"/>
      <c r="G10" s="22"/>
      <c r="H10" s="22"/>
      <c r="I10" s="22"/>
    </row>
    <row r="11" spans="1:10" ht="7.5" customHeight="1" x14ac:dyDescent="0.2"/>
    <row r="12" spans="1:10" s="42" customFormat="1" x14ac:dyDescent="0.25">
      <c r="C12" s="19" t="s">
        <v>23</v>
      </c>
      <c r="D12" s="136" t="s">
        <v>135</v>
      </c>
      <c r="E12" s="137"/>
      <c r="F12" s="136" t="s">
        <v>0</v>
      </c>
      <c r="G12" s="137"/>
      <c r="H12" s="19" t="s">
        <v>54</v>
      </c>
      <c r="I12" s="127" t="s">
        <v>27</v>
      </c>
      <c r="J12" s="130"/>
    </row>
    <row r="13" spans="1:10" s="42" customFormat="1" x14ac:dyDescent="0.25">
      <c r="C13" s="20" t="str">
        <f>_xll.SUBNM("region06:organization","Workflow","101","Caption_Default")</f>
        <v>Massachusetts</v>
      </c>
      <c r="D13" s="138" t="str">
        <f>_xll.SUBNM("region06:Currency Calc","Default","Local")</f>
        <v>Local</v>
      </c>
      <c r="E13" s="138"/>
      <c r="F13" s="138" t="str">
        <f>_xll.SUBNM("region06:Year","Default","Y2","Caption_Default")</f>
        <v>2021</v>
      </c>
      <c r="G13" s="138"/>
      <c r="H13" s="20" t="str">
        <f>_xll.SUBNM("region06:Month","MY","Year")</f>
        <v>Year</v>
      </c>
      <c r="I13" s="20" t="s">
        <v>55</v>
      </c>
      <c r="J13" s="20"/>
    </row>
    <row r="14" spans="1:10" s="42" customFormat="1" ht="7.5" customHeight="1" x14ac:dyDescent="0.25"/>
    <row r="15" spans="1:10" s="42" customFormat="1" ht="18.75" customHeight="1" thickBot="1" x14ac:dyDescent="0.3">
      <c r="C15" s="21"/>
      <c r="D15" s="21" t="s">
        <v>124</v>
      </c>
      <c r="E15" s="21" t="s">
        <v>57</v>
      </c>
      <c r="F15" s="21" t="str">
        <f>_xll.SUBNM("region06:Version","Current",_xll.DBR("region06:Calendar","Current Version","String"),"Caption_Default")</f>
        <v>Version1</v>
      </c>
      <c r="G15" s="21" t="s">
        <v>58</v>
      </c>
      <c r="H15" s="21" t="s">
        <v>59</v>
      </c>
      <c r="I15" s="21" t="s">
        <v>60</v>
      </c>
    </row>
    <row r="16" spans="1:10" s="42" customFormat="1" ht="15" hidden="1" thickTop="1" x14ac:dyDescent="0.25">
      <c r="D16" s="48" t="s">
        <v>123</v>
      </c>
      <c r="E16" s="48" t="s">
        <v>57</v>
      </c>
      <c r="F16" s="49" t="str">
        <f>_xll.SUBNM("region06:Version","Current",_xll.DBR("region06:Calendar","Current Version","String"),"Caption_Default")</f>
        <v>Version1</v>
      </c>
      <c r="G16" s="48" t="s">
        <v>58</v>
      </c>
      <c r="H16" s="48" t="s">
        <v>59</v>
      </c>
      <c r="I16" s="48" t="s">
        <v>60</v>
      </c>
    </row>
    <row r="17" spans="1:9" ht="15" thickTop="1" x14ac:dyDescent="0.2">
      <c r="A17" s="40" t="str">
        <f>IF(_xll.TM1RPTELISCONSOLIDATED($C$17,$C17),IF(_xll.TM1RPTELLEV($C$17,$C17)&lt;=3,_xll.TM1RPTELLEV($C$17,$C17),"D"),"N")</f>
        <v>N</v>
      </c>
      <c r="C17" s="27" t="str">
        <f>_xll.TM1RPTROW($C$9,"region06:Account","Summary",,"Caption_Default",1)</f>
        <v>4999 Gross Revenue</v>
      </c>
      <c r="D17" s="29">
        <f>_xll.DBRW($C$9,$D$13,$C$13,$F$13,$H$13,$C17,D$16)</f>
        <v>10495090.600703504</v>
      </c>
      <c r="E17" s="29">
        <f>_xll.DBRW($C$9,$D$13,$C$13,$F$13,$H$13,$C17,E$16)</f>
        <v>12817315.026957115</v>
      </c>
      <c r="F17" s="29">
        <f>_xll.DBRW($C$9,$D$13,$C$13,$F$13,$H$13,$C17,F$16)</f>
        <v>27654742.650997963</v>
      </c>
      <c r="G17" s="133">
        <f>_xll.DBRW($C$9,$D$13,$C$13,$F$13,$H$13,$C17,G$16)</f>
        <v>-20569720.876248427</v>
      </c>
      <c r="H17" s="135">
        <f>_xll.DBRW($C$9,$D$13,$C$13,$F$13,$H$13,$C17,H$16)</f>
        <v>-74.380445827457876</v>
      </c>
      <c r="I17" s="47" t="str">
        <f>_xll.DBRW($C$9,$D$13,$C$13,$F$13,$H$13,$C17,I$16)</f>
        <v/>
      </c>
    </row>
    <row r="18" spans="1:9" x14ac:dyDescent="0.2">
      <c r="A18" s="40" t="str">
        <f>IF(_xll.TM1RPTELISCONSOLIDATED($C$17,$C18),IF(_xll.TM1RPTELLEV($C$17,$C18)&lt;=3,_xll.TM1RPTELLEV($C$17,$C18),"D"),"N")</f>
        <v>N</v>
      </c>
      <c r="C18" s="27" t="s">
        <v>42</v>
      </c>
      <c r="D18" s="29">
        <f>_xll.DBRW($C$9,$D$13,$C$13,$F$13,$H$13,$C18,D$16)</f>
        <v>8661808.5130813643</v>
      </c>
      <c r="E18" s="29">
        <f>_xll.DBRW($C$9,$D$13,$C$13,$F$13,$H$13,$C18,E$16)</f>
        <v>8811382.6706150007</v>
      </c>
      <c r="F18" s="29">
        <f>_xll.DBRW($C$9,$D$13,$C$13,$F$13,$H$13,$C18,F$16)</f>
        <v>20932843.892588545</v>
      </c>
      <c r="G18" s="133">
        <f>_xll.DBRW($C$9,$D$13,$C$13,$F$13,$H$13,$C18,G$16)</f>
        <v>15012087.237210188</v>
      </c>
      <c r="H18" s="135">
        <f>_xll.DBRW($C$9,$D$13,$C$13,$F$13,$H$13,$C18,H$16)</f>
        <v>71.715469308617671</v>
      </c>
      <c r="I18" s="47" t="str">
        <f>_xll.DBRW($C$9,$D$13,$C$13,$F$13,$H$13,$C18,I$16)</f>
        <v/>
      </c>
    </row>
    <row r="19" spans="1:9" x14ac:dyDescent="0.2">
      <c r="A19" s="40">
        <f>IF(_xll.TM1RPTELISCONSOLIDATED($C$17,$C19),IF(_xll.TM1RPTELLEV($C$17,$C19)&lt;=3,_xll.TM1RPTELLEV($C$17,$C19),"D"),"N")</f>
        <v>2</v>
      </c>
      <c r="C19" s="150" t="s">
        <v>43</v>
      </c>
      <c r="D19" s="29">
        <f>_xll.DBRW($C$9,$D$13,$C$13,$F$13,$H$13,$C19,D$16)</f>
        <v>1833282.0876221396</v>
      </c>
      <c r="E19" s="29">
        <f>_xll.DBRW($C$9,$D$13,$C$13,$F$13,$H$13,$C19,E$16)</f>
        <v>4005932.3563421145</v>
      </c>
      <c r="F19" s="29">
        <f>_xll.DBRW($C$9,$D$13,$C$13,$F$13,$H$13,$C19,F$16)</f>
        <v>6721898.7584094135</v>
      </c>
      <c r="G19" s="133">
        <f>_xll.DBRW($C$9,$D$13,$C$13,$F$13,$H$13,$C19,G$16)</f>
        <v>-5557633.6390382396</v>
      </c>
      <c r="H19" s="135">
        <f>_xll.DBRW($C$9,$D$13,$C$13,$F$13,$H$13,$C19,H$16)</f>
        <v>-82.679520159171886</v>
      </c>
      <c r="I19" s="46" t="str">
        <f>_xll.DBRW($C$9,$D$13,$C$13,$F$13,$H$13,$C19,I$16)</f>
        <v/>
      </c>
    </row>
    <row r="20" spans="1:9" x14ac:dyDescent="0.2">
      <c r="A20" s="40">
        <f>IF(_xll.TM1RPTELISCONSOLIDATED($C$17,$C20),IF(_xll.TM1RPTELLEV($C$17,$C20)&lt;=3,_xll.TM1RPTELLEV($C$17,$C20),"D"),"N")</f>
        <v>3</v>
      </c>
      <c r="C20" s="153" t="s">
        <v>44</v>
      </c>
      <c r="D20" s="29">
        <f>_xll.DBRW($C$9,$D$13,$C$13,$F$13,$H$13,$C20,D$16)</f>
        <v>710411.91797512444</v>
      </c>
      <c r="E20" s="29">
        <f>_xll.DBRW($C$9,$D$13,$C$13,$F$13,$H$13,$C20,E$16)</f>
        <v>710411.91797512444</v>
      </c>
      <c r="F20" s="29">
        <f>_xll.DBRW($C$9,$D$13,$C$13,$F$13,$H$13,$C20,F$16)</f>
        <v>688412.59357644315</v>
      </c>
      <c r="G20" s="133">
        <f>_xll.DBRW($C$9,$D$13,$C$13,$F$13,$H$13,$C20,G$16)</f>
        <v>7694.3622115713079</v>
      </c>
      <c r="H20" s="135">
        <f>_xll.DBRW($C$9,$D$13,$C$13,$F$13,$H$13,$C20,H$16)</f>
        <v>1.1176963180754049</v>
      </c>
      <c r="I20" s="46" t="str">
        <f>_xll.DBRW($C$9,$D$13,$C$13,$F$13,$H$13,$C20,I$16)</f>
        <v/>
      </c>
    </row>
    <row r="21" spans="1:9" x14ac:dyDescent="0.2">
      <c r="A21" s="40">
        <f>IF(_xll.TM1RPTELISCONSOLIDATED($C$17,$C21),IF(_xll.TM1RPTELLEV($C$17,$C21)&lt;=3,_xll.TM1RPTELLEV($C$17,$C21),"D"),"N")</f>
        <v>3</v>
      </c>
      <c r="C21" s="153" t="s">
        <v>45</v>
      </c>
      <c r="D21" s="29">
        <f>_xll.DBRW($C$9,$D$13,$C$13,$F$13,$H$13,$C21,D$16)</f>
        <v>67120.542625874223</v>
      </c>
      <c r="E21" s="29">
        <f>_xll.DBRW($C$9,$D$13,$C$13,$F$13,$H$13,$C21,E$16)</f>
        <v>67120.542625874223</v>
      </c>
      <c r="F21" s="29">
        <f>_xll.DBRW($C$9,$D$13,$C$13,$F$13,$H$13,$C21,F$16)</f>
        <v>79201.760000000009</v>
      </c>
      <c r="G21" s="133">
        <f>_xll.DBRW($C$9,$D$13,$C$13,$F$13,$H$13,$C21,G$16)</f>
        <v>13297.759999999995</v>
      </c>
      <c r="H21" s="135">
        <f>_xll.DBRW($C$9,$D$13,$C$13,$F$13,$H$13,$C21,H$16)</f>
        <v>16.789727905036447</v>
      </c>
      <c r="I21" s="46" t="str">
        <f>_xll.DBRW($C$9,$D$13,$C$13,$F$13,$H$13,$C21,I$16)</f>
        <v/>
      </c>
    </row>
    <row r="22" spans="1:9" x14ac:dyDescent="0.2">
      <c r="A22" s="40">
        <f>IF(_xll.TM1RPTELISCONSOLIDATED($C$17,$C22),IF(_xll.TM1RPTELLEV($C$17,$C22)&lt;=3,_xll.TM1RPTELLEV($C$17,$C22),"D"),"N")</f>
        <v>3</v>
      </c>
      <c r="C22" s="153" t="s">
        <v>46</v>
      </c>
      <c r="D22" s="29">
        <f>_xll.DBRW($C$9,$D$13,$C$13,$F$13,$H$13,$C22,D$16)</f>
        <v>45415.518284643782</v>
      </c>
      <c r="E22" s="29">
        <f>_xll.DBRW($C$9,$D$13,$C$13,$F$13,$H$13,$C22,E$16)</f>
        <v>45415.518284643782</v>
      </c>
      <c r="F22" s="29">
        <f>_xll.DBRW($C$9,$D$13,$C$13,$F$13,$H$13,$C22,F$16)</f>
        <v>45228</v>
      </c>
      <c r="G22" s="133">
        <f>_xll.DBRW($C$9,$D$13,$C$13,$F$13,$H$13,$C22,G$16)</f>
        <v>2280</v>
      </c>
      <c r="H22" s="135">
        <f>_xll.DBRW($C$9,$D$13,$C$13,$F$13,$H$13,$C22,H$16)</f>
        <v>5.0411249668347047</v>
      </c>
      <c r="I22" s="46" t="str">
        <f>_xll.DBRW($C$9,$D$13,$C$13,$F$13,$H$13,$C22,I$16)</f>
        <v/>
      </c>
    </row>
    <row r="23" spans="1:9" x14ac:dyDescent="0.2">
      <c r="A23" s="40">
        <f>IF(_xll.TM1RPTELISCONSOLIDATED($C$17,$C23),IF(_xll.TM1RPTELLEV($C$17,$C23)&lt;=3,_xll.TM1RPTELLEV($C$17,$C23),"D"),"N")</f>
        <v>3</v>
      </c>
      <c r="C23" s="153" t="s">
        <v>47</v>
      </c>
      <c r="D23" s="29">
        <f>_xll.DBRW($C$9,$D$13,$C$13,$F$13,$H$13,$C23,D$16)</f>
        <v>536653.70116066153</v>
      </c>
      <c r="E23" s="29">
        <f>_xll.DBRW($C$9,$D$13,$C$13,$F$13,$H$13,$C23,E$16)</f>
        <v>536653.70116066153</v>
      </c>
      <c r="F23" s="29">
        <f>_xll.DBRW($C$9,$D$13,$C$13,$F$13,$H$13,$C23,F$16)</f>
        <v>330000</v>
      </c>
      <c r="G23" s="133">
        <f>_xll.DBRW($C$9,$D$13,$C$13,$F$13,$H$13,$C23,G$16)</f>
        <v>-175796.99999999994</v>
      </c>
      <c r="H23" s="135">
        <f>_xll.DBRW($C$9,$D$13,$C$13,$F$13,$H$13,$C23,H$16)</f>
        <v>-53.271818181818162</v>
      </c>
      <c r="I23" s="46" t="str">
        <f>_xll.DBRW($C$9,$D$13,$C$13,$F$13,$H$13,$C23,I$16)</f>
        <v/>
      </c>
    </row>
    <row r="24" spans="1:9" x14ac:dyDescent="0.2">
      <c r="A24" s="40">
        <f>IF(_xll.TM1RPTELISCONSOLIDATED($C$17,$C24),IF(_xll.TM1RPTELLEV($C$17,$C24)&lt;=3,_xll.TM1RPTELLEV($C$17,$C24),"D"),"N")</f>
        <v>3</v>
      </c>
      <c r="C24" s="153" t="s">
        <v>48</v>
      </c>
      <c r="D24" s="29">
        <f>_xll.DBRW($C$9,$D$13,$C$13,$F$13,$H$13,$C24,D$16)</f>
        <v>99851.303968334934</v>
      </c>
      <c r="E24" s="29">
        <f>_xll.DBRW($C$9,$D$13,$C$13,$F$13,$H$13,$C24,E$16)</f>
        <v>99851.303968334934</v>
      </c>
      <c r="F24" s="29">
        <f>_xll.DBRW($C$9,$D$13,$C$13,$F$13,$H$13,$C24,F$16)</f>
        <v>681310.80000000016</v>
      </c>
      <c r="G24" s="133">
        <f>_xll.DBRW($C$9,$D$13,$C$13,$F$13,$H$13,$C24,G$16)</f>
        <v>581086.80000000016</v>
      </c>
      <c r="H24" s="135">
        <f>_xll.DBRW($C$9,$D$13,$C$13,$F$13,$H$13,$C24,H$16)</f>
        <v>85.289533058921137</v>
      </c>
      <c r="I24" s="46" t="str">
        <f>_xll.DBRW($C$9,$D$13,$C$13,$F$13,$H$13,$C24,I$16)</f>
        <v/>
      </c>
    </row>
    <row r="25" spans="1:9" x14ac:dyDescent="0.2">
      <c r="A25" s="40">
        <f>IF(_xll.TM1RPTELISCONSOLIDATED($C$17,$C25),IF(_xll.TM1RPTELLEV($C$17,$C25)&lt;=3,_xll.TM1RPTELLEV($C$17,$C25),"D"),"N")</f>
        <v>3</v>
      </c>
      <c r="C25" s="153" t="s">
        <v>49</v>
      </c>
      <c r="D25" s="29">
        <f>_xll.DBRW($C$9,$D$13,$C$13,$F$13,$H$13,$C25,D$16)</f>
        <v>134270.06256135003</v>
      </c>
      <c r="E25" s="29">
        <f>_xll.DBRW($C$9,$D$13,$C$13,$F$13,$H$13,$C25,E$16)</f>
        <v>134270.06256135003</v>
      </c>
      <c r="F25" s="29">
        <f>_xll.DBRW($C$9,$D$13,$C$13,$F$13,$H$13,$C25,F$16)</f>
        <v>170583.33333333334</v>
      </c>
      <c r="G25" s="133">
        <f>_xll.DBRW($C$9,$D$13,$C$13,$F$13,$H$13,$C25,G$16)</f>
        <v>26583.333333333343</v>
      </c>
      <c r="H25" s="135">
        <f>_xll.DBRW($C$9,$D$13,$C$13,$F$13,$H$13,$C25,H$16)</f>
        <v>15.583781143136303</v>
      </c>
      <c r="I25" s="46" t="str">
        <f>_xll.DBRW($C$9,$D$13,$C$13,$F$13,$H$13,$C25,I$16)</f>
        <v/>
      </c>
    </row>
    <row r="26" spans="1:9" x14ac:dyDescent="0.2">
      <c r="A26" s="40">
        <f>IF(_xll.TM1RPTELISCONSOLIDATED($C$17,$C26),IF(_xll.TM1RPTELLEV($C$17,$C26)&lt;=3,_xll.TM1RPTELLEV($C$17,$C26),"D"),"N")</f>
        <v>2</v>
      </c>
      <c r="C26" s="150" t="s">
        <v>50</v>
      </c>
      <c r="D26" s="29">
        <f>_xll.DBRW($C$9,$D$13,$C$13,$F$13,$H$13,$C26,D$16)</f>
        <v>1593723.0465759886</v>
      </c>
      <c r="E26" s="29">
        <f>_xll.DBRW($C$9,$D$13,$C$13,$F$13,$H$13,$C26,E$16)</f>
        <v>1593723.0465759886</v>
      </c>
      <c r="F26" s="29">
        <f>_xll.DBRW($C$9,$D$13,$C$13,$F$13,$H$13,$C26,F$16)</f>
        <v>1994736.4869097753</v>
      </c>
      <c r="G26" s="133">
        <f>_xll.DBRW($C$9,$D$13,$C$13,$F$13,$H$13,$C26,G$16)</f>
        <v>455145.25554490462</v>
      </c>
      <c r="H26" s="135">
        <f>_xll.DBRW($C$9,$D$13,$C$13,$F$13,$H$13,$C26,H$16)</f>
        <v>22.817312388465432</v>
      </c>
      <c r="I26" s="46" t="str">
        <f>_xll.DBRW($C$9,$D$13,$C$13,$F$13,$H$13,$C26,I$16)</f>
        <v/>
      </c>
    </row>
    <row r="27" spans="1:9" x14ac:dyDescent="0.2">
      <c r="A27" s="40">
        <f>IF(_xll.TM1RPTELISCONSOLIDATED($C$17,$C27),IF(_xll.TM1RPTELLEV($C$17,$C27)&lt;=3,_xll.TM1RPTELLEV($C$17,$C27),"D"),"N")</f>
        <v>1</v>
      </c>
      <c r="C27" s="151" t="s">
        <v>51</v>
      </c>
      <c r="D27" s="114">
        <f>_xll.DBRW($C$9,$D$13,$C$13,$F$13,$H$13,$C27,D$16)</f>
        <v>239559.04104615038</v>
      </c>
      <c r="E27" s="114">
        <f>_xll.DBRW($C$9,$D$13,$C$13,$F$13,$H$13,$C27,E$16)</f>
        <v>2412209.3097661263</v>
      </c>
      <c r="F27" s="114">
        <f>_xll.DBRW($C$9,$D$13,$C$13,$F$13,$H$13,$C27,F$16)</f>
        <v>4727162.2714996329</v>
      </c>
      <c r="G27" s="132">
        <f>_xll.DBRW($C$9,$D$13,$C$13,$F$13,$H$13,$C27,G$16)</f>
        <v>-5102488.3834933368</v>
      </c>
      <c r="H27" s="134">
        <f>_xll.DBRW($C$9,$D$13,$C$13,$F$13,$H$13,$C27,H$16)</f>
        <v>-107.93977634862586</v>
      </c>
      <c r="I27" s="115" t="str">
        <f>_xll.DBRW($C$9,$D$13,$C$13,$F$13,$H$13,$C27,I$16)</f>
        <v/>
      </c>
    </row>
    <row r="28" spans="1:9" x14ac:dyDescent="0.2">
      <c r="A28" s="40">
        <f>IF(_xll.TM1RPTELISCONSOLIDATED($C$17,$C28),IF(_xll.TM1RPTELLEV($C$17,$C28)&lt;=3,_xll.TM1RPTELLEV($C$17,$C28),"D"),"N")</f>
        <v>1</v>
      </c>
      <c r="C28" s="154" t="s">
        <v>52</v>
      </c>
      <c r="D28" s="114">
        <f>_xll.DBRW($C$9,$D$13,$C$13,$F$13,$H$13,$C28,D$16)</f>
        <v>11965.31335730452</v>
      </c>
      <c r="E28" s="114">
        <f>_xll.DBRW($C$9,$D$13,$C$13,$F$13,$H$13,$C28,E$16)</f>
        <v>11965.313357304527</v>
      </c>
      <c r="F28" s="114">
        <f>_xll.DBRW($C$9,$D$13,$C$13,$F$13,$H$13,$C28,F$16)</f>
        <v>250108.26110942196</v>
      </c>
      <c r="G28" s="132">
        <f>_xll.DBRW($C$9,$D$13,$C$13,$F$13,$H$13,$C28,G$16)</f>
        <v>218379.3756809418</v>
      </c>
      <c r="H28" s="134">
        <f>_xll.DBRW($C$9,$D$13,$C$13,$F$13,$H$13,$C28,H$16)</f>
        <v>87.313939456562423</v>
      </c>
      <c r="I28" s="115" t="str">
        <f>_xll.DBRW($C$9,$D$13,$C$13,$F$13,$H$13,$C28,I$16)</f>
        <v/>
      </c>
    </row>
    <row r="29" spans="1:9" x14ac:dyDescent="0.2">
      <c r="A29" s="40">
        <f>IF(_xll.TM1RPTELISCONSOLIDATED($C$17,$C29),IF(_xll.TM1RPTELLEV($C$17,$C29)&lt;=3,_xll.TM1RPTELLEV($C$17,$C29),"D"),"N")</f>
        <v>0</v>
      </c>
      <c r="C29" s="152" t="s">
        <v>53</v>
      </c>
      <c r="D29" s="114">
        <f>_xll.DBRW($C$9,$D$13,$C$13,$F$13,$H$13,$C29,D$16)</f>
        <v>227593.72768884583</v>
      </c>
      <c r="E29" s="114">
        <f>_xll.DBRW($C$9,$D$13,$C$13,$F$13,$H$13,$C29,E$16)</f>
        <v>2400243.996408822</v>
      </c>
      <c r="F29" s="114">
        <f>_xll.DBRW($C$9,$D$13,$C$13,$F$13,$H$13,$C29,F$16)</f>
        <v>4477054.0103902128</v>
      </c>
      <c r="G29" s="132">
        <f>_xll.DBRW($C$9,$D$13,$C$13,$F$13,$H$13,$C29,G$16)</f>
        <v>-4884109.0078123948</v>
      </c>
      <c r="H29" s="134">
        <f>_xll.DBRW($C$9,$D$13,$C$13,$F$13,$H$13,$C29,H$16)</f>
        <v>-109.09202784861411</v>
      </c>
      <c r="I29" s="115" t="str">
        <f>_xll.DBRW($C$9,$D$13,$C$13,$F$13,$H$13,$C29,I$16)</f>
        <v/>
      </c>
    </row>
    <row r="32" spans="1:9" ht="15" x14ac:dyDescent="0.25">
      <c r="C32" s="155" t="s">
        <v>269</v>
      </c>
    </row>
    <row r="33" spans="3:3" x14ac:dyDescent="0.2">
      <c r="C33" s="40" t="str">
        <f>"Net Profit for " &amp; C13 &amp; IF(G29&gt;0, "has increased ", "has decreased ") &amp; ROUND(G29,0) &amp; " $ compared to previous year."</f>
        <v>Net Profit for Massachusettshas decreased -4884109 $ compared to previous year.</v>
      </c>
    </row>
    <row r="34" spans="3:3" x14ac:dyDescent="0.2">
      <c r="C34" s="40" t="str">
        <f>"In the mean while, OPEX  increased " &amp; ROUND(H26,2) &amp; "%"</f>
        <v>In the mean while, OPEX  increased 22.82%</v>
      </c>
    </row>
  </sheetData>
  <mergeCells count="4">
    <mergeCell ref="D12:E12"/>
    <mergeCell ref="F12:G12"/>
    <mergeCell ref="D13:E13"/>
    <mergeCell ref="F13:G13"/>
  </mergeCells>
  <phoneticPr fontId="12" type="noConversion"/>
  <dataValidations count="1">
    <dataValidation type="list" allowBlank="1" showInputMessage="1" showErrorMessage="1" sqref="I13" xr:uid="{00000000-0002-0000-0000-000000000000}">
      <formula1>SelectYesNo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P69"/>
  <sheetViews>
    <sheetView showGridLines="0" topLeftCell="B10" workbookViewId="0"/>
  </sheetViews>
  <sheetFormatPr defaultRowHeight="14.25" x14ac:dyDescent="0.2"/>
  <cols>
    <col min="1" max="1" width="2.7109375" style="40" hidden="1" customWidth="1"/>
    <col min="2" max="2" width="1.28515625" style="40" customWidth="1"/>
    <col min="3" max="3" width="28.85546875" style="40" customWidth="1"/>
    <col min="4" max="8" width="19.42578125" style="40" customWidth="1"/>
    <col min="9" max="16384" width="9.140625" style="40"/>
  </cols>
  <sheetData>
    <row r="1" spans="1:8" hidden="1" x14ac:dyDescent="0.2">
      <c r="A1" s="40" t="s">
        <v>11</v>
      </c>
    </row>
    <row r="2" spans="1:8" hidden="1" x14ac:dyDescent="0.2">
      <c r="A2" s="40">
        <f>0</f>
        <v>0</v>
      </c>
      <c r="C2" s="113"/>
      <c r="D2" s="114"/>
      <c r="E2" s="114"/>
      <c r="F2" s="114"/>
      <c r="G2" s="114"/>
      <c r="H2" s="114"/>
    </row>
    <row r="3" spans="1:8" hidden="1" x14ac:dyDescent="0.2">
      <c r="A3" s="40">
        <f>1</f>
        <v>1</v>
      </c>
      <c r="C3" s="113"/>
      <c r="D3" s="114"/>
      <c r="E3" s="114"/>
      <c r="F3" s="114"/>
      <c r="G3" s="114"/>
      <c r="H3" s="114"/>
    </row>
    <row r="4" spans="1:8" hidden="1" x14ac:dyDescent="0.2">
      <c r="A4" s="40">
        <f>2</f>
        <v>2</v>
      </c>
      <c r="C4" s="26"/>
      <c r="D4" s="29"/>
      <c r="E4" s="29"/>
      <c r="F4" s="29"/>
      <c r="G4" s="29"/>
      <c r="H4" s="29"/>
    </row>
    <row r="5" spans="1:8" hidden="1" x14ac:dyDescent="0.2">
      <c r="A5" s="40">
        <f>3</f>
        <v>3</v>
      </c>
      <c r="C5" s="26"/>
      <c r="D5" s="29"/>
      <c r="E5" s="29"/>
      <c r="F5" s="29"/>
      <c r="G5" s="29"/>
      <c r="H5" s="29"/>
    </row>
    <row r="6" spans="1:8" hidden="1" x14ac:dyDescent="0.2">
      <c r="A6" s="40" t="s">
        <v>9</v>
      </c>
      <c r="C6" s="26"/>
      <c r="D6" s="29"/>
      <c r="E6" s="29"/>
      <c r="F6" s="29"/>
      <c r="G6" s="29"/>
      <c r="H6" s="29"/>
    </row>
    <row r="7" spans="1:8" hidden="1" x14ac:dyDescent="0.2">
      <c r="A7" s="40" t="s">
        <v>10</v>
      </c>
      <c r="C7" s="26"/>
      <c r="D7" s="29"/>
      <c r="E7" s="29"/>
      <c r="F7" s="29"/>
      <c r="G7" s="29"/>
      <c r="H7" s="29"/>
    </row>
    <row r="8" spans="1:8" ht="15" hidden="1" customHeight="1" x14ac:dyDescent="0.2">
      <c r="A8" s="40" t="s">
        <v>12</v>
      </c>
      <c r="G8" s="40">
        <f>VLOOKUP($G$13,Lookup!$D$2:$E$3,2,0)</f>
        <v>0</v>
      </c>
      <c r="H8" s="40" t="e">
        <f>IF(#REF!&lt;&gt;"","{TM1FILTERBYPATTERN( {TM1SUBSETALL( [Account] )}, """&amp;#REF!&amp;""")}","")</f>
        <v>#REF!</v>
      </c>
    </row>
    <row r="9" spans="1:8" hidden="1" x14ac:dyDescent="0.2">
      <c r="C9" s="40" t="str">
        <f>_xll.TM1RPTVIEW("region06:Income Statement:3", $G$8, _xll.TM1RPTTITLE("region06:Currency Calc",$D$13), _xll.TM1RPTTITLE("region06:organization",$C$13), _xll.TM1RPTTITLE("region06:Year",$E$13), _xll.TM1RPTTITLE("region06:Version",$F$13),TM1RPTFMTRNG,TM1RPTFMTIDCOL)</f>
        <v>region06:Income Statement:3</v>
      </c>
    </row>
    <row r="10" spans="1:8" ht="31.5" customHeight="1" thickBot="1" x14ac:dyDescent="0.25">
      <c r="A10" s="128"/>
      <c r="B10" s="129"/>
      <c r="C10" s="22" t="s">
        <v>262</v>
      </c>
      <c r="D10" s="22"/>
      <c r="E10" s="22"/>
      <c r="F10" s="22"/>
      <c r="G10" s="22"/>
      <c r="H10" s="22"/>
    </row>
    <row r="11" spans="1:8" ht="7.5" customHeight="1" x14ac:dyDescent="0.2"/>
    <row r="12" spans="1:8" s="43" customFormat="1" ht="15" customHeight="1" x14ac:dyDescent="0.25">
      <c r="C12" s="19" t="s">
        <v>23</v>
      </c>
      <c r="D12" s="127" t="s">
        <v>135</v>
      </c>
      <c r="E12" s="127" t="s">
        <v>0</v>
      </c>
      <c r="F12" s="127" t="s">
        <v>1</v>
      </c>
      <c r="G12" s="136" t="s">
        <v>27</v>
      </c>
      <c r="H12" s="137"/>
    </row>
    <row r="13" spans="1:8" s="50" customFormat="1" ht="15" customHeight="1" x14ac:dyDescent="0.25">
      <c r="C13" s="20" t="str">
        <f>_xll.SUBNM("region06:organization","Workflow","101","Caption_Default")</f>
        <v>Massachusetts</v>
      </c>
      <c r="D13" s="20" t="str">
        <f>_xll.SUBNM("region06:Currency Calc","Default","Local")</f>
        <v>Local</v>
      </c>
      <c r="E13" s="20" t="str">
        <f>_xll.SUBNM("region06:Year","Default","Y2","Caption_Default")</f>
        <v>2021</v>
      </c>
      <c r="F13" s="20" t="str">
        <f>_xll.SUBNM("region06:Version","Current",_xll.DBR("region06:Calendar","Current Version","String"),"Caption_Default")</f>
        <v>Version1</v>
      </c>
      <c r="G13" s="138" t="s">
        <v>55</v>
      </c>
      <c r="H13" s="138"/>
    </row>
    <row r="14" spans="1:8" s="42" customFormat="1" ht="7.5" customHeight="1" x14ac:dyDescent="0.25"/>
    <row r="15" spans="1:8" s="42" customFormat="1" ht="15" thickBot="1" x14ac:dyDescent="0.3">
      <c r="C15" s="21"/>
      <c r="D15" s="21" t="s">
        <v>0</v>
      </c>
      <c r="E15" s="21" t="s">
        <v>243</v>
      </c>
      <c r="F15" s="21" t="s">
        <v>244</v>
      </c>
      <c r="G15" s="21" t="s">
        <v>245</v>
      </c>
      <c r="H15" s="21" t="s">
        <v>246</v>
      </c>
    </row>
    <row r="16" spans="1:8" ht="15" thickTop="1" x14ac:dyDescent="0.2">
      <c r="A16" s="40" t="str">
        <f>IF(_xll.TM1RPTELISCONSOLIDATED($C$16,$C16),IF(_xll.TM1RPTELLEV($C$16,$C16)&lt;=3,_xll.TM1RPTELLEV($C$16,$C16),"D"),"N")</f>
        <v>N</v>
      </c>
      <c r="C16" s="27" t="str">
        <f>_xll.TM1RPTROW($C$9,"region06:Account","Summary",,"Caption_Default",1)</f>
        <v>4999 Gross Revenue</v>
      </c>
      <c r="D16" s="29">
        <f>_xll.DBRW($C$9,$D$13,$C$13,$E$13,D$15,$C16,$F$13)</f>
        <v>27654742.650997963</v>
      </c>
      <c r="E16" s="29">
        <f>_xll.DBRW($C$9,$D$13,$C$13,$E$13,E$15,$C16,$F$13)</f>
        <v>12209671.596692635</v>
      </c>
      <c r="F16" s="29">
        <f>_xll.DBRW($C$9,$D$13,$C$13,$E$13,F$15,$C16,$F$13)</f>
        <v>2737365.0317953564</v>
      </c>
      <c r="G16" s="29">
        <f>_xll.DBRW($C$9,$D$13,$C$13,$E$13,G$15,$C16,$F$13)</f>
        <v>9730066.779136816</v>
      </c>
      <c r="H16" s="29">
        <f>_xll.DBRW($C$9,$D$13,$C$13,$E$13,H$15,$C16,$F$13)</f>
        <v>2977639.2433731505</v>
      </c>
    </row>
    <row r="17" spans="1:8" x14ac:dyDescent="0.2">
      <c r="A17" s="40" t="str">
        <f>IF(_xll.TM1RPTELISCONSOLIDATED($C$16,$C17),IF(_xll.TM1RPTELLEV($C$16,$C17)&lt;=3,_xll.TM1RPTELLEV($C$16,$C17),"D"),"N")</f>
        <v>N</v>
      </c>
      <c r="C17" s="27" t="s">
        <v>42</v>
      </c>
      <c r="D17" s="29">
        <f>_xll.DBRW($C$9,$D$13,$C$13,$E$13,D$15,$C17,$F$13)</f>
        <v>20932843.892588545</v>
      </c>
      <c r="E17" s="29">
        <f>_xll.DBRW($C$9,$D$13,$C$13,$E$13,E$15,$C17,$F$13)</f>
        <v>9302413.8857161067</v>
      </c>
      <c r="F17" s="29">
        <f>_xll.DBRW($C$9,$D$13,$C$13,$E$13,F$15,$C17,$F$13)</f>
        <v>2147987.3772985386</v>
      </c>
      <c r="G17" s="29">
        <f>_xll.DBRW($C$9,$D$13,$C$13,$E$13,G$15,$C17,$F$13)</f>
        <v>7251005.0919964081</v>
      </c>
      <c r="H17" s="29">
        <f>_xll.DBRW($C$9,$D$13,$C$13,$E$13,H$15,$C17,$F$13)</f>
        <v>2231437.5375774908</v>
      </c>
    </row>
    <row r="18" spans="1:8" x14ac:dyDescent="0.2">
      <c r="A18" s="40">
        <f>IF(_xll.TM1RPTELISCONSOLIDATED($C$16,$C18),IF(_xll.TM1RPTELLEV($C$16,$C18)&lt;=3,_xll.TM1RPTELLEV($C$16,$C18),"D"),"N")</f>
        <v>2</v>
      </c>
      <c r="C18" s="150" t="s">
        <v>43</v>
      </c>
      <c r="D18" s="29">
        <f>_xll.DBRW($C$9,$D$13,$C$13,$E$13,D$15,$C18,$F$13)</f>
        <v>6721898.7584094135</v>
      </c>
      <c r="E18" s="29">
        <f>_xll.DBRW($C$9,$D$13,$C$13,$E$13,E$15,$C18,$F$13)</f>
        <v>2907257.7109765289</v>
      </c>
      <c r="F18" s="29">
        <f>_xll.DBRW($C$9,$D$13,$C$13,$E$13,F$15,$C18,$F$13)</f>
        <v>589377.65449681738</v>
      </c>
      <c r="G18" s="29">
        <f>_xll.DBRW($C$9,$D$13,$C$13,$E$13,G$15,$C18,$F$13)</f>
        <v>2479061.687140408</v>
      </c>
      <c r="H18" s="29">
        <f>_xll.DBRW($C$9,$D$13,$C$13,$E$13,H$15,$C18,$F$13)</f>
        <v>746201.70579565957</v>
      </c>
    </row>
    <row r="19" spans="1:8" x14ac:dyDescent="0.2">
      <c r="A19" s="40">
        <f>IF(_xll.TM1RPTELISCONSOLIDATED($C$16,$C19),IF(_xll.TM1RPTELLEV($C$16,$C19)&lt;=3,_xll.TM1RPTELLEV($C$16,$C19),"D"),"N")</f>
        <v>3</v>
      </c>
      <c r="C19" s="153" t="s">
        <v>44</v>
      </c>
      <c r="D19" s="29">
        <f>_xll.DBRW($C$9,$D$13,$C$13,$E$13,D$15,$C19,$F$13)</f>
        <v>688412.59357644315</v>
      </c>
      <c r="E19" s="29">
        <f>_xll.DBRW($C$9,$D$13,$C$13,$E$13,E$15,$C19,$F$13)</f>
        <v>176432.14558110732</v>
      </c>
      <c r="F19" s="29">
        <f>_xll.DBRW($C$9,$D$13,$C$13,$E$13,F$15,$C19,$F$13)</f>
        <v>187150.53258920254</v>
      </c>
      <c r="G19" s="29">
        <f>_xll.DBRW($C$9,$D$13,$C$13,$E$13,G$15,$C19,$F$13)</f>
        <v>175431.9805628013</v>
      </c>
      <c r="H19" s="29">
        <f>_xll.DBRW($C$9,$D$13,$C$13,$E$13,H$15,$C19,$F$13)</f>
        <v>149397.9348433321</v>
      </c>
    </row>
    <row r="20" spans="1:8" x14ac:dyDescent="0.2">
      <c r="A20" s="40">
        <f>IF(_xll.TM1RPTELISCONSOLIDATED($C$16,$C20),IF(_xll.TM1RPTELLEV($C$16,$C20)&lt;=3,_xll.TM1RPTELLEV($C$16,$C20),"D"),"N")</f>
        <v>3</v>
      </c>
      <c r="C20" s="153" t="s">
        <v>45</v>
      </c>
      <c r="D20" s="29">
        <f>_xll.DBRW($C$9,$D$13,$C$13,$E$13,D$15,$C20,$F$13)</f>
        <v>79201.760000000009</v>
      </c>
      <c r="E20" s="29">
        <f>_xll.DBRW($C$9,$D$13,$C$13,$E$13,E$15,$C20,$F$13)</f>
        <v>19900.939999999999</v>
      </c>
      <c r="F20" s="29">
        <f>_xll.DBRW($C$9,$D$13,$C$13,$E$13,F$15,$C20,$F$13)</f>
        <v>19766.939999999999</v>
      </c>
      <c r="G20" s="29">
        <f>_xll.DBRW($C$9,$D$13,$C$13,$E$13,G$15,$C20,$F$13)</f>
        <v>19766.939999999999</v>
      </c>
      <c r="H20" s="29">
        <f>_xll.DBRW($C$9,$D$13,$C$13,$E$13,H$15,$C20,$F$13)</f>
        <v>19766.939999999999</v>
      </c>
    </row>
    <row r="21" spans="1:8" x14ac:dyDescent="0.2">
      <c r="A21" s="40">
        <f>IF(_xll.TM1RPTELISCONSOLIDATED($C$16,$C21),IF(_xll.TM1RPTELLEV($C$16,$C21)&lt;=3,_xll.TM1RPTELLEV($C$16,$C21),"D"),"N")</f>
        <v>3</v>
      </c>
      <c r="C21" s="153" t="s">
        <v>46</v>
      </c>
      <c r="D21" s="29">
        <f>_xll.DBRW($C$9,$D$13,$C$13,$E$13,D$15,$C21,$F$13)</f>
        <v>45228</v>
      </c>
      <c r="E21" s="29">
        <f>_xll.DBRW($C$9,$D$13,$C$13,$E$13,E$15,$C21,$F$13)</f>
        <v>11307</v>
      </c>
      <c r="F21" s="29">
        <f>_xll.DBRW($C$9,$D$13,$C$13,$E$13,F$15,$C21,$F$13)</f>
        <v>11307</v>
      </c>
      <c r="G21" s="29">
        <f>_xll.DBRW($C$9,$D$13,$C$13,$E$13,G$15,$C21,$F$13)</f>
        <v>11307</v>
      </c>
      <c r="H21" s="29">
        <f>_xll.DBRW($C$9,$D$13,$C$13,$E$13,H$15,$C21,$F$13)</f>
        <v>11307</v>
      </c>
    </row>
    <row r="22" spans="1:8" x14ac:dyDescent="0.2">
      <c r="A22" s="40">
        <f>IF(_xll.TM1RPTELISCONSOLIDATED($C$16,$C22),IF(_xll.TM1RPTELLEV($C$16,$C22)&lt;=3,_xll.TM1RPTELLEV($C$16,$C22),"D"),"N")</f>
        <v>3</v>
      </c>
      <c r="C22" s="153" t="s">
        <v>47</v>
      </c>
      <c r="D22" s="29">
        <f>_xll.DBRW($C$9,$D$13,$C$13,$E$13,D$15,$C22,$F$13)</f>
        <v>330000</v>
      </c>
      <c r="E22" s="29">
        <f>_xll.DBRW($C$9,$D$13,$C$13,$E$13,E$15,$C22,$F$13)</f>
        <v>40714.28571428571</v>
      </c>
      <c r="F22" s="29">
        <f>_xll.DBRW($C$9,$D$13,$C$13,$E$13,F$15,$C22,$F$13)</f>
        <v>168571.42857142858</v>
      </c>
      <c r="G22" s="29">
        <f>_xll.DBRW($C$9,$D$13,$C$13,$E$13,G$15,$C22,$F$13)</f>
        <v>52500</v>
      </c>
      <c r="H22" s="29">
        <f>_xll.DBRW($C$9,$D$13,$C$13,$E$13,H$15,$C22,$F$13)</f>
        <v>68214.28571428571</v>
      </c>
    </row>
    <row r="23" spans="1:8" x14ac:dyDescent="0.2">
      <c r="A23" s="40">
        <f>IF(_xll.TM1RPTELISCONSOLIDATED($C$16,$C23),IF(_xll.TM1RPTELLEV($C$16,$C23)&lt;=3,_xll.TM1RPTELLEV($C$16,$C23),"D"),"N")</f>
        <v>3</v>
      </c>
      <c r="C23" s="153" t="s">
        <v>48</v>
      </c>
      <c r="D23" s="29">
        <f>_xll.DBRW($C$9,$D$13,$C$13,$E$13,D$15,$C23,$F$13)</f>
        <v>681310.80000000016</v>
      </c>
      <c r="E23" s="29">
        <f>_xll.DBRW($C$9,$D$13,$C$13,$E$13,E$15,$C23,$F$13)</f>
        <v>599621.80174668611</v>
      </c>
      <c r="F23" s="29">
        <f>_xll.DBRW($C$9,$D$13,$C$13,$E$13,F$15,$C23,$F$13)</f>
        <v>28096.068807420859</v>
      </c>
      <c r="G23" s="29">
        <f>_xll.DBRW($C$9,$D$13,$C$13,$E$13,G$15,$C23,$F$13)</f>
        <v>26767.10073785374</v>
      </c>
      <c r="H23" s="29">
        <f>_xll.DBRW($C$9,$D$13,$C$13,$E$13,H$15,$C23,$F$13)</f>
        <v>26825.828708039262</v>
      </c>
    </row>
    <row r="24" spans="1:8" x14ac:dyDescent="0.2">
      <c r="A24" s="40">
        <f>IF(_xll.TM1RPTELISCONSOLIDATED($C$16,$C24),IF(_xll.TM1RPTELLEV($C$16,$C24)&lt;=3,_xll.TM1RPTELLEV($C$16,$C24),"D"),"N")</f>
        <v>3</v>
      </c>
      <c r="C24" s="153" t="s">
        <v>49</v>
      </c>
      <c r="D24" s="29">
        <f>_xll.DBRW($C$9,$D$13,$C$13,$E$13,D$15,$C24,$F$13)</f>
        <v>170583.33333333334</v>
      </c>
      <c r="E24" s="29">
        <f>_xll.DBRW($C$9,$D$13,$C$13,$E$13,E$15,$C24,$F$13)</f>
        <v>250</v>
      </c>
      <c r="F24" s="29">
        <f>_xll.DBRW($C$9,$D$13,$C$13,$E$13,F$15,$C24,$F$13)</f>
        <v>30208.333333333332</v>
      </c>
      <c r="G24" s="29">
        <f>_xll.DBRW($C$9,$D$13,$C$13,$E$13,G$15,$C24,$F$13)</f>
        <v>54750</v>
      </c>
      <c r="H24" s="29">
        <f>_xll.DBRW($C$9,$D$13,$C$13,$E$13,H$15,$C24,$F$13)</f>
        <v>85375</v>
      </c>
    </row>
    <row r="25" spans="1:8" x14ac:dyDescent="0.2">
      <c r="A25" s="40">
        <f>IF(_xll.TM1RPTELISCONSOLIDATED($C$16,$C25),IF(_xll.TM1RPTELLEV($C$16,$C25)&lt;=3,_xll.TM1RPTELLEV($C$16,$C25),"D"),"N")</f>
        <v>2</v>
      </c>
      <c r="C25" s="150" t="s">
        <v>50</v>
      </c>
      <c r="D25" s="29">
        <f>_xll.DBRW($C$9,$D$13,$C$13,$E$13,D$15,$C25,$F$13)</f>
        <v>1994736.4869097753</v>
      </c>
      <c r="E25" s="29">
        <f>_xll.DBRW($C$9,$D$13,$C$13,$E$13,E$15,$C25,$F$13)</f>
        <v>848226.17304207908</v>
      </c>
      <c r="F25" s="29">
        <f>_xll.DBRW($C$9,$D$13,$C$13,$E$13,F$15,$C25,$F$13)</f>
        <v>445100.30330138531</v>
      </c>
      <c r="G25" s="29">
        <f>_xll.DBRW($C$9,$D$13,$C$13,$E$13,G$15,$C25,$F$13)</f>
        <v>340523.02130065497</v>
      </c>
      <c r="H25" s="29">
        <f>_xll.DBRW($C$9,$D$13,$C$13,$E$13,H$15,$C25,$F$13)</f>
        <v>360886.98926565709</v>
      </c>
    </row>
    <row r="26" spans="1:8" x14ac:dyDescent="0.2">
      <c r="A26" s="40">
        <f>IF(_xll.TM1RPTELISCONSOLIDATED($C$16,$C26),IF(_xll.TM1RPTELLEV($C$16,$C26)&lt;=3,_xll.TM1RPTELLEV($C$16,$C26),"D"),"N")</f>
        <v>1</v>
      </c>
      <c r="C26" s="151" t="s">
        <v>51</v>
      </c>
      <c r="D26" s="114">
        <f>_xll.DBRW($C$9,$D$13,$C$13,$E$13,D$15,$C26,$F$13)</f>
        <v>4727162.2714996329</v>
      </c>
      <c r="E26" s="114">
        <f>_xll.DBRW($C$9,$D$13,$C$13,$E$13,E$15,$C26,$F$13)</f>
        <v>2059031.5379344509</v>
      </c>
      <c r="F26" s="114">
        <f>_xll.DBRW($C$9,$D$13,$C$13,$E$13,F$15,$C26,$F$13)</f>
        <v>144277.35119543213</v>
      </c>
      <c r="G26" s="114">
        <f>_xll.DBRW($C$9,$D$13,$C$13,$E$13,G$15,$C26,$F$13)</f>
        <v>2138538.6658397531</v>
      </c>
      <c r="H26" s="114">
        <f>_xll.DBRW($C$9,$D$13,$C$13,$E$13,H$15,$C26,$F$13)</f>
        <v>385314.71653000271</v>
      </c>
    </row>
    <row r="27" spans="1:8" x14ac:dyDescent="0.2">
      <c r="A27" s="40">
        <f>IF(_xll.TM1RPTELISCONSOLIDATED($C$16,$C27),IF(_xll.TM1RPTELLEV($C$16,$C27)&lt;=3,_xll.TM1RPTELLEV($C$16,$C27),"D"),"N")</f>
        <v>1</v>
      </c>
      <c r="C27" s="154" t="s">
        <v>52</v>
      </c>
      <c r="D27" s="114">
        <f>_xll.DBRW($C$9,$D$13,$C$13,$E$13,D$15,$C27,$F$13)</f>
        <v>250108.26110942196</v>
      </c>
      <c r="E27" s="114">
        <f>_xll.DBRW($C$9,$D$13,$C$13,$E$13,E$15,$C27,$F$13)</f>
        <v>46293.1910678821</v>
      </c>
      <c r="F27" s="114">
        <f>_xll.DBRW($C$9,$D$13,$C$13,$E$13,F$15,$C27,$F$13)</f>
        <v>55346.231003466884</v>
      </c>
      <c r="G27" s="114">
        <f>_xll.DBRW($C$9,$D$13,$C$13,$E$13,G$15,$C27,$F$13)</f>
        <v>71329.769171405977</v>
      </c>
      <c r="H27" s="114">
        <f>_xll.DBRW($C$9,$D$13,$C$13,$E$13,H$15,$C27,$F$13)</f>
        <v>77139.069866666963</v>
      </c>
    </row>
    <row r="28" spans="1:8" x14ac:dyDescent="0.2">
      <c r="A28" s="40">
        <f>IF(_xll.TM1RPTELISCONSOLIDATED($C$16,$C28),IF(_xll.TM1RPTELLEV($C$16,$C28)&lt;=3,_xll.TM1RPTELLEV($C$16,$C28),"D"),"N")</f>
        <v>0</v>
      </c>
      <c r="C28" s="152" t="s">
        <v>53</v>
      </c>
      <c r="D28" s="114">
        <f>_xll.DBRW($C$9,$D$13,$C$13,$E$13,D$15,$C28,$F$13)</f>
        <v>4477054.0103902128</v>
      </c>
      <c r="E28" s="114">
        <f>_xll.DBRW($C$9,$D$13,$C$13,$E$13,E$15,$C28,$F$13)</f>
        <v>2012738.3468665674</v>
      </c>
      <c r="F28" s="114">
        <f>_xll.DBRW($C$9,$D$13,$C$13,$E$13,F$15,$C28,$F$13)</f>
        <v>88931.120191965179</v>
      </c>
      <c r="G28" s="114">
        <f>_xll.DBRW($C$9,$D$13,$C$13,$E$13,G$15,$C28,$F$13)</f>
        <v>2067208.8966683468</v>
      </c>
      <c r="H28" s="114">
        <f>_xll.DBRW($C$9,$D$13,$C$13,$E$13,H$15,$C28,$F$13)</f>
        <v>308175.64666333568</v>
      </c>
    </row>
    <row r="61" spans="12:16" ht="0.2" customHeight="1" x14ac:dyDescent="0.2"/>
    <row r="62" spans="12:16" ht="0.2" customHeight="1" thickBot="1" x14ac:dyDescent="0.25">
      <c r="M62" s="21" t="s">
        <v>243</v>
      </c>
      <c r="N62" s="21" t="s">
        <v>244</v>
      </c>
      <c r="O62" s="21" t="s">
        <v>245</v>
      </c>
      <c r="P62" s="21" t="s">
        <v>246</v>
      </c>
    </row>
    <row r="63" spans="12:16" ht="0.2" customHeight="1" thickTop="1" x14ac:dyDescent="0.2">
      <c r="L63" s="28" t="s">
        <v>44</v>
      </c>
      <c r="M63" s="29">
        <f>_xll.DBRW($C$9,$D$13,$C$13,$E$13,E$15,$L63,$F$13)</f>
        <v>176432.14558110732</v>
      </c>
      <c r="N63" s="29">
        <f>_xll.DBRW($C$9,$D$13,$C$13,$E$13,F$15,$L63,$F$13)</f>
        <v>187150.53258920254</v>
      </c>
      <c r="O63" s="29">
        <f>_xll.DBRW($C$9,$D$13,$C$13,$E$13,G$15,$L63,$F$13)</f>
        <v>175431.9805628013</v>
      </c>
      <c r="P63" s="29">
        <f>_xll.DBRW($C$9,$D$13,$C$13,$E$13,H$15,$L63,$F$13)</f>
        <v>149397.9348433321</v>
      </c>
    </row>
    <row r="64" spans="12:16" ht="0.2" customHeight="1" x14ac:dyDescent="0.2">
      <c r="L64" s="28" t="s">
        <v>45</v>
      </c>
      <c r="M64" s="29">
        <f>_xll.DBRW($C$9,$D$13,$C$13,$E$13,E$15,$L64,$F$13)</f>
        <v>19900.939999999999</v>
      </c>
      <c r="N64" s="29">
        <f>_xll.DBRW($C$9,$D$13,$C$13,$E$13,F$15,$L64,$F$13)</f>
        <v>19766.939999999999</v>
      </c>
      <c r="O64" s="29">
        <f>_xll.DBRW($C$9,$D$13,$C$13,$E$13,G$15,$L64,$F$13)</f>
        <v>19766.939999999999</v>
      </c>
      <c r="P64" s="29">
        <f>_xll.DBRW($C$9,$D$13,$C$13,$E$13,H$15,$L64,$F$13)</f>
        <v>19766.939999999999</v>
      </c>
    </row>
    <row r="65" spans="12:16" ht="0.2" customHeight="1" x14ac:dyDescent="0.2">
      <c r="L65" s="28" t="s">
        <v>46</v>
      </c>
      <c r="M65" s="29">
        <f>_xll.DBRW($C$9,$D$13,$C$13,$E$13,E$15,$L65,$F$13)</f>
        <v>11307</v>
      </c>
      <c r="N65" s="29">
        <f>_xll.DBRW($C$9,$D$13,$C$13,$E$13,F$15,$L65,$F$13)</f>
        <v>11307</v>
      </c>
      <c r="O65" s="29">
        <f>_xll.DBRW($C$9,$D$13,$C$13,$E$13,G$15,$L65,$F$13)</f>
        <v>11307</v>
      </c>
      <c r="P65" s="29">
        <f>_xll.DBRW($C$9,$D$13,$C$13,$E$13,H$15,$L65,$F$13)</f>
        <v>11307</v>
      </c>
    </row>
    <row r="66" spans="12:16" ht="0.2" customHeight="1" x14ac:dyDescent="0.2">
      <c r="L66" s="28" t="s">
        <v>47</v>
      </c>
      <c r="M66" s="29">
        <f>_xll.DBRW($C$9,$D$13,$C$13,$E$13,E$15,$L66,$F$13)</f>
        <v>40714.28571428571</v>
      </c>
      <c r="N66" s="29">
        <f>_xll.DBRW($C$9,$D$13,$C$13,$E$13,F$15,$L66,$F$13)</f>
        <v>168571.42857142858</v>
      </c>
      <c r="O66" s="29">
        <f>_xll.DBRW($C$9,$D$13,$C$13,$E$13,G$15,$L66,$F$13)</f>
        <v>52500</v>
      </c>
      <c r="P66" s="29">
        <f>_xll.DBRW($C$9,$D$13,$C$13,$E$13,H$15,$L66,$F$13)</f>
        <v>68214.28571428571</v>
      </c>
    </row>
    <row r="67" spans="12:16" ht="0.2" customHeight="1" x14ac:dyDescent="0.2">
      <c r="L67" s="28" t="s">
        <v>48</v>
      </c>
      <c r="M67" s="29">
        <f>_xll.DBRW($C$9,$D$13,$C$13,$E$13,E$15,$L67,$F$13)</f>
        <v>599621.80174668611</v>
      </c>
      <c r="N67" s="29">
        <f>_xll.DBRW($C$9,$D$13,$C$13,$E$13,F$15,$L67,$F$13)</f>
        <v>28096.068807420859</v>
      </c>
      <c r="O67" s="29">
        <f>_xll.DBRW($C$9,$D$13,$C$13,$E$13,G$15,$L67,$F$13)</f>
        <v>26767.10073785374</v>
      </c>
      <c r="P67" s="29">
        <f>_xll.DBRW($C$9,$D$13,$C$13,$E$13,H$15,$L67,$F$13)</f>
        <v>26825.828708039262</v>
      </c>
    </row>
    <row r="68" spans="12:16" ht="0.2" customHeight="1" x14ac:dyDescent="0.2">
      <c r="L68" s="28" t="s">
        <v>49</v>
      </c>
      <c r="M68" s="29">
        <f>_xll.DBRW($C$9,$D$13,$C$13,$E$13,E$15,$L68,$F$13)</f>
        <v>250</v>
      </c>
      <c r="N68" s="29">
        <f>_xll.DBRW($C$9,$D$13,$C$13,$E$13,F$15,$L68,$F$13)</f>
        <v>30208.333333333332</v>
      </c>
      <c r="O68" s="29">
        <f>_xll.DBRW($C$9,$D$13,$C$13,$E$13,G$15,$L68,$F$13)</f>
        <v>54750</v>
      </c>
      <c r="P68" s="29">
        <f>_xll.DBRW($C$9,$D$13,$C$13,$E$13,H$15,$L68,$F$13)</f>
        <v>85375</v>
      </c>
    </row>
    <row r="69" spans="12:16" ht="0.2" customHeight="1" x14ac:dyDescent="0.2"/>
  </sheetData>
  <mergeCells count="2">
    <mergeCell ref="G12:H12"/>
    <mergeCell ref="G13:H13"/>
  </mergeCells>
  <phoneticPr fontId="12" type="noConversion"/>
  <dataValidations count="1">
    <dataValidation type="list" allowBlank="1" showInputMessage="1" showErrorMessage="1" sqref="G13:H13" xr:uid="{00000000-0002-0000-0100-000000000000}">
      <formula1>SelectYesNo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L18"/>
  <sheetViews>
    <sheetView showGridLines="0" topLeftCell="B11" workbookViewId="0"/>
  </sheetViews>
  <sheetFormatPr defaultRowHeight="15" x14ac:dyDescent="0.25"/>
  <cols>
    <col min="1" max="1" width="2.7109375" hidden="1" customWidth="1"/>
    <col min="2" max="2" width="1.28515625" customWidth="1"/>
    <col min="3" max="3" width="14.5703125" hidden="1" customWidth="1"/>
    <col min="4" max="4" width="15.5703125" customWidth="1"/>
    <col min="5" max="5" width="7.28515625" customWidth="1"/>
    <col min="6" max="6" width="19.42578125" customWidth="1"/>
    <col min="7" max="7" width="24.5703125" customWidth="1"/>
    <col min="8" max="8" width="21.28515625" customWidth="1"/>
    <col min="9" max="9" width="12.7109375" customWidth="1"/>
    <col min="10" max="10" width="10.28515625" customWidth="1"/>
    <col min="11" max="11" width="12.7109375" customWidth="1"/>
    <col min="12" max="12" width="17.85546875" customWidth="1"/>
  </cols>
  <sheetData>
    <row r="1" spans="1:12" hidden="1" x14ac:dyDescent="0.25">
      <c r="A1" t="s">
        <v>11</v>
      </c>
      <c r="E1" s="124"/>
    </row>
    <row r="2" spans="1:12" ht="20.25" hidden="1" x14ac:dyDescent="0.3">
      <c r="A2">
        <f>0</f>
        <v>0</v>
      </c>
      <c r="D2" s="120"/>
      <c r="E2" s="125"/>
      <c r="F2" s="31"/>
      <c r="G2" s="31"/>
      <c r="H2" s="31"/>
      <c r="I2" s="32"/>
      <c r="J2" s="33"/>
      <c r="K2" s="32"/>
      <c r="L2" s="31"/>
    </row>
    <row r="3" spans="1:12" ht="20.25" hidden="1" x14ac:dyDescent="0.3">
      <c r="A3">
        <f>1</f>
        <v>1</v>
      </c>
      <c r="D3" s="120"/>
      <c r="E3" s="125"/>
      <c r="F3" s="31"/>
      <c r="G3" s="31"/>
      <c r="H3" s="31"/>
      <c r="I3" s="32"/>
      <c r="J3" s="33"/>
      <c r="K3" s="32"/>
      <c r="L3" s="31"/>
    </row>
    <row r="4" spans="1:12" ht="20.25" hidden="1" x14ac:dyDescent="0.3">
      <c r="A4">
        <f>2</f>
        <v>2</v>
      </c>
      <c r="D4" s="120"/>
      <c r="E4" s="125"/>
      <c r="F4" s="31"/>
      <c r="G4" s="31"/>
      <c r="H4" s="31"/>
      <c r="I4" s="32"/>
      <c r="J4" s="33"/>
      <c r="K4" s="32"/>
      <c r="L4" s="31"/>
    </row>
    <row r="5" spans="1:12" ht="20.25" hidden="1" x14ac:dyDescent="0.3">
      <c r="A5">
        <f>3</f>
        <v>3</v>
      </c>
      <c r="D5" s="120"/>
      <c r="E5" s="125"/>
      <c r="F5" s="31"/>
      <c r="G5" s="31"/>
      <c r="H5" s="31"/>
      <c r="I5" s="32"/>
      <c r="J5" s="33"/>
      <c r="K5" s="32"/>
      <c r="L5" s="31"/>
    </row>
    <row r="6" spans="1:12" ht="20.25" hidden="1" x14ac:dyDescent="0.3">
      <c r="A6" t="s">
        <v>9</v>
      </c>
      <c r="D6" s="120"/>
      <c r="E6" s="125"/>
      <c r="F6" s="31"/>
      <c r="G6" s="31"/>
      <c r="H6" s="31"/>
      <c r="I6" s="32"/>
      <c r="J6" s="33"/>
      <c r="K6" s="32"/>
      <c r="L6" s="31"/>
    </row>
    <row r="7" spans="1:12" ht="20.25" hidden="1" x14ac:dyDescent="0.3">
      <c r="A7" t="s">
        <v>10</v>
      </c>
      <c r="D7" s="120"/>
      <c r="E7" s="125"/>
      <c r="F7" s="31"/>
      <c r="G7" s="31"/>
      <c r="H7" s="31"/>
      <c r="I7" s="32"/>
      <c r="J7" s="33"/>
      <c r="K7" s="32"/>
      <c r="L7" s="31"/>
    </row>
    <row r="8" spans="1:12" ht="20.25" hidden="1" x14ac:dyDescent="0.3">
      <c r="A8" t="s">
        <v>242</v>
      </c>
      <c r="D8" s="121"/>
      <c r="E8" s="126"/>
      <c r="F8" s="110"/>
      <c r="G8" s="110"/>
      <c r="H8" s="110"/>
      <c r="I8" s="111"/>
      <c r="J8" s="112"/>
      <c r="K8" s="111"/>
      <c r="L8" s="110"/>
    </row>
    <row r="9" spans="1:12" hidden="1" x14ac:dyDescent="0.25">
      <c r="A9" t="s">
        <v>12</v>
      </c>
    </row>
    <row r="10" spans="1:12" ht="22.5" hidden="1" customHeight="1" x14ac:dyDescent="0.25">
      <c r="D10" t="str">
        <f>_xll.TM1RPTVIEW("region06:Allocation Source Definition:1", 0, _xll.TM1RPTTITLE("region06:Year",$D$14), _xll.TM1RPTTITLE("region06:Version",$F$14),TM1RPTFMTRNG,TM1RPTFMTIDCOL)</f>
        <v>region06:Allocation Source Definition:1</v>
      </c>
    </row>
    <row r="11" spans="1:12" ht="27" customHeight="1" thickBot="1" x14ac:dyDescent="0.3">
      <c r="A11" s="14"/>
      <c r="B11" s="129"/>
      <c r="C11" s="22"/>
      <c r="D11" s="22" t="s">
        <v>133</v>
      </c>
      <c r="E11" s="22"/>
      <c r="F11" s="22"/>
      <c r="G11" s="22"/>
      <c r="H11" s="22"/>
      <c r="I11" s="22"/>
      <c r="J11" s="22"/>
      <c r="K11" s="22"/>
      <c r="L11" s="22"/>
    </row>
    <row r="12" spans="1:12" ht="7.5" customHeight="1" x14ac:dyDescent="0.25"/>
    <row r="13" spans="1:12" s="3" customFormat="1" x14ac:dyDescent="0.25">
      <c r="D13" s="19" t="s">
        <v>0</v>
      </c>
      <c r="E13" s="19"/>
      <c r="F13" s="19" t="s">
        <v>1</v>
      </c>
    </row>
    <row r="14" spans="1:12" s="3" customFormat="1" x14ac:dyDescent="0.25">
      <c r="D14" s="20" t="str">
        <f>_xll.SUBNM("region06:Year","Default","Y2","Caption_Default")</f>
        <v>2021</v>
      </c>
      <c r="E14" s="20"/>
      <c r="F14" s="20" t="str">
        <f>_xll.SUBNM("region06:Version","Current",_xll.DBR("region06:Calendar","Current Version","String"),"Caption_Default")</f>
        <v>Version1</v>
      </c>
    </row>
    <row r="15" spans="1:12" s="3" customFormat="1" ht="10.5" customHeight="1" x14ac:dyDescent="0.25"/>
    <row r="16" spans="1:12" s="13" customFormat="1" ht="30.75" customHeight="1" thickBot="1" x14ac:dyDescent="0.3">
      <c r="D16" s="24"/>
      <c r="E16" s="24"/>
      <c r="F16" s="24" t="s">
        <v>2</v>
      </c>
      <c r="G16" s="24" t="s">
        <v>3</v>
      </c>
      <c r="H16" s="24" t="s">
        <v>4</v>
      </c>
      <c r="I16" s="24" t="s">
        <v>5</v>
      </c>
      <c r="J16" s="24" t="s">
        <v>6</v>
      </c>
      <c r="K16" s="24" t="s">
        <v>7</v>
      </c>
      <c r="L16" s="24" t="s">
        <v>8</v>
      </c>
    </row>
    <row r="17" spans="1:12" s="12" customFormat="1" ht="30.75" hidden="1" customHeight="1" x14ac:dyDescent="0.25">
      <c r="D17" s="16"/>
      <c r="E17" s="16"/>
      <c r="F17" s="15" t="s">
        <v>2</v>
      </c>
      <c r="G17" s="15" t="s">
        <v>3</v>
      </c>
      <c r="H17" s="15" t="s">
        <v>4</v>
      </c>
      <c r="I17" s="15" t="s">
        <v>5</v>
      </c>
      <c r="J17" s="15" t="s">
        <v>6</v>
      </c>
      <c r="K17" s="15" t="s">
        <v>7</v>
      </c>
      <c r="L17" s="15" t="s">
        <v>8</v>
      </c>
    </row>
    <row r="18" spans="1:12" ht="21" thickTop="1" x14ac:dyDescent="0.3">
      <c r="A18" t="e">
        <f>IF(D18="All Allocations","1_All",IF(OR(_xll.DBR($D$10,$D18,$D$14,$F$14,"zSource")=PL!$C$13,_xll.DBR($D$10,$D18,$D$14,$F$14,"zSource")=""),1,0))</f>
        <v>#VALUE!</v>
      </c>
      <c r="C18" t="str">
        <f>IF(MOD(ROW(),2)=1,"G","W")</f>
        <v>W</v>
      </c>
      <c r="D18" s="122" t="str">
        <f>_xll.TM1RPTROW($D$10,"region06:Allocation List","L0 Allocations")</f>
        <v/>
      </c>
      <c r="E18" s="125" t="e">
        <f>IF(F18="","",IF(A18=1,"→",IF(A18=0,"←","")))</f>
        <v>#VALUE!</v>
      </c>
      <c r="F18" s="31" t="e">
        <f>_xll.DBRW($D$10,$D18,$D$14,$F$14,F$17)</f>
        <v>#VALUE!</v>
      </c>
      <c r="G18" s="31" t="e">
        <f>_xll.DBRW($D$10,$D18,$D$14,$F$14,G$17)</f>
        <v>#VALUE!</v>
      </c>
      <c r="H18" s="31" t="e">
        <f>_xll.DBRW($D$10,$D18,$D$14,$F$14,H$17)</f>
        <v>#VALUE!</v>
      </c>
      <c r="I18" s="32" t="e">
        <f>_xll.DBRW($D$10,$D18,$D$14,$F$14,I$17)</f>
        <v>#VALUE!</v>
      </c>
      <c r="J18" s="33" t="e">
        <f>_xll.DBRW($D$10,$D18,$D$14,$F$14,J$17)</f>
        <v>#VALUE!</v>
      </c>
      <c r="K18" s="32" t="e">
        <f>_xll.DBRW($D$10,$D18,$D$14,$F$14,K$17)</f>
        <v>#VALUE!</v>
      </c>
      <c r="L18" s="31" t="e">
        <f>_xll.DBRW($D$10,$D18,$D$14,$F$14,L$17)</f>
        <v>#VALUE!</v>
      </c>
    </row>
  </sheetData>
  <conditionalFormatting sqref="D2:L3">
    <cfRule type="expression" dxfId="9" priority="147">
      <formula>$C2="G"</formula>
    </cfRule>
  </conditionalFormatting>
  <conditionalFormatting sqref="D18:L18">
    <cfRule type="expression" dxfId="7" priority="1">
      <formula>$C18="G"</formula>
    </cfRule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5121" r:id="rId4" name="TIButton1">
          <controlPr defaultSize="0" print="0" autoLine="0" autoPict="0" r:id="rId5">
            <anchor moveWithCells="1">
              <from>
                <xdr:col>10</xdr:col>
                <xdr:colOff>323850</xdr:colOff>
                <xdr:row>10</xdr:row>
                <xdr:rowOff>47625</xdr:rowOff>
              </from>
              <to>
                <xdr:col>11</xdr:col>
                <xdr:colOff>1066800</xdr:colOff>
                <xdr:row>10</xdr:row>
                <xdr:rowOff>304800</xdr:rowOff>
              </to>
            </anchor>
          </controlPr>
        </control>
      </mc:Choice>
      <mc:Fallback>
        <control shapeId="5121" r:id="rId4" name="TI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J36"/>
  <sheetViews>
    <sheetView showGridLines="0" topLeftCell="B10" workbookViewId="0"/>
  </sheetViews>
  <sheetFormatPr defaultRowHeight="14.25" x14ac:dyDescent="0.2"/>
  <cols>
    <col min="1" max="1" width="2.7109375" style="40" hidden="1" customWidth="1"/>
    <col min="2" max="2" width="1.28515625" style="40" customWidth="1"/>
    <col min="3" max="3" width="30.140625" style="40" bestFit="1" customWidth="1"/>
    <col min="4" max="4" width="15.7109375" style="40" customWidth="1"/>
    <col min="5" max="5" width="9.28515625" style="40" customWidth="1"/>
    <col min="6" max="7" width="15.7109375" style="40" customWidth="1"/>
    <col min="8" max="8" width="9.28515625" style="40" customWidth="1"/>
    <col min="9" max="10" width="15.7109375" style="40" customWidth="1"/>
    <col min="11" max="16384" width="9.140625" style="40"/>
  </cols>
  <sheetData>
    <row r="1" spans="1:10" hidden="1" x14ac:dyDescent="0.2">
      <c r="A1" s="116" t="s">
        <v>11</v>
      </c>
      <c r="B1" s="116"/>
      <c r="C1" s="116"/>
      <c r="D1" s="116"/>
      <c r="E1" s="116"/>
      <c r="F1" s="116"/>
      <c r="G1" s="116"/>
      <c r="H1" s="116"/>
      <c r="I1" s="116"/>
      <c r="J1" s="116"/>
    </row>
    <row r="2" spans="1:10" hidden="1" x14ac:dyDescent="0.2">
      <c r="A2" s="116">
        <f>0</f>
        <v>0</v>
      </c>
      <c r="B2" s="116"/>
      <c r="C2" s="103"/>
      <c r="D2" s="107"/>
      <c r="E2" s="108"/>
      <c r="F2" s="107"/>
      <c r="G2" s="107"/>
      <c r="H2" s="109"/>
      <c r="I2" s="107"/>
      <c r="J2" s="107"/>
    </row>
    <row r="3" spans="1:10" hidden="1" x14ac:dyDescent="0.2">
      <c r="A3" s="116">
        <f>1</f>
        <v>1</v>
      </c>
      <c r="B3" s="116"/>
      <c r="C3" s="103"/>
      <c r="D3" s="107"/>
      <c r="E3" s="108"/>
      <c r="F3" s="107"/>
      <c r="G3" s="107"/>
      <c r="H3" s="109"/>
      <c r="I3" s="107"/>
      <c r="J3" s="107"/>
    </row>
    <row r="4" spans="1:10" hidden="1" x14ac:dyDescent="0.2">
      <c r="A4" s="116">
        <f>2</f>
        <v>2</v>
      </c>
      <c r="B4" s="116"/>
      <c r="C4" s="30"/>
      <c r="D4" s="34"/>
      <c r="E4" s="35"/>
      <c r="F4" s="34"/>
      <c r="G4" s="34"/>
      <c r="H4" s="36"/>
      <c r="I4" s="34"/>
      <c r="J4" s="34"/>
    </row>
    <row r="5" spans="1:10" hidden="1" x14ac:dyDescent="0.2">
      <c r="A5" s="116">
        <f>3</f>
        <v>3</v>
      </c>
      <c r="B5" s="116"/>
      <c r="C5" s="30"/>
      <c r="D5" s="34"/>
      <c r="E5" s="35"/>
      <c r="F5" s="34"/>
      <c r="G5" s="34"/>
      <c r="H5" s="36"/>
      <c r="I5" s="34"/>
      <c r="J5" s="34"/>
    </row>
    <row r="6" spans="1:10" hidden="1" x14ac:dyDescent="0.2">
      <c r="A6" s="116" t="s">
        <v>9</v>
      </c>
      <c r="B6" s="116"/>
      <c r="C6" s="30"/>
      <c r="D6" s="37"/>
      <c r="E6" s="38"/>
      <c r="F6" s="37"/>
      <c r="G6" s="37"/>
      <c r="H6" s="39"/>
      <c r="I6" s="37"/>
      <c r="J6" s="37"/>
    </row>
    <row r="7" spans="1:10" hidden="1" x14ac:dyDescent="0.2">
      <c r="A7" s="116" t="s">
        <v>10</v>
      </c>
      <c r="B7" s="116"/>
      <c r="C7" s="30"/>
      <c r="D7" s="37"/>
      <c r="E7" s="38"/>
      <c r="F7" s="37"/>
      <c r="G7" s="37"/>
      <c r="H7" s="39"/>
      <c r="I7" s="37"/>
      <c r="J7" s="37"/>
    </row>
    <row r="8" spans="1:10" hidden="1" x14ac:dyDescent="0.2">
      <c r="A8" s="116" t="s">
        <v>12</v>
      </c>
      <c r="B8" s="116"/>
      <c r="C8" s="116"/>
      <c r="D8" s="116"/>
      <c r="E8" s="116"/>
      <c r="F8" s="116"/>
      <c r="G8" s="116"/>
      <c r="H8" s="116"/>
      <c r="I8" s="116"/>
      <c r="J8" s="116"/>
    </row>
    <row r="9" spans="1:10" hidden="1" x14ac:dyDescent="0.2">
      <c r="C9" s="40" t="str">
        <f>_xll.TM1RPTVIEW("region06:Allocation Calculation:2", 0, _xll.TM1RPTTITLE("region06:Allocation List",$C$13), _xll.TM1RPTTITLE("region06:Year",$E$13), _xll.TM1RPTTITLE("region06:Month",$D$13), _xll.TM1RPTTITLE("region06:Version",$F$13),TM1RPTFMTRNG,TM1RPTFMTIDCOL)</f>
        <v>region06:Allocation Calculation:2</v>
      </c>
    </row>
    <row r="10" spans="1:10" ht="37.5" customHeight="1" thickBot="1" x14ac:dyDescent="0.25">
      <c r="A10" s="41"/>
      <c r="B10" s="22"/>
      <c r="C10" s="22" t="s">
        <v>134</v>
      </c>
      <c r="D10" s="22"/>
      <c r="E10" s="22"/>
      <c r="F10" s="22"/>
      <c r="G10" s="22"/>
      <c r="H10" s="22"/>
      <c r="I10" s="22"/>
      <c r="J10" s="22"/>
    </row>
    <row r="11" spans="1:10" ht="7.5" customHeight="1" x14ac:dyDescent="0.2"/>
    <row r="12" spans="1:10" s="42" customFormat="1" x14ac:dyDescent="0.25">
      <c r="C12" s="19" t="s">
        <v>115</v>
      </c>
      <c r="D12" s="19" t="s">
        <v>54</v>
      </c>
      <c r="E12" s="19" t="s">
        <v>0</v>
      </c>
      <c r="F12" s="136" t="s">
        <v>1</v>
      </c>
      <c r="G12" s="137"/>
    </row>
    <row r="13" spans="1:10" s="42" customFormat="1" x14ac:dyDescent="0.25">
      <c r="C13" s="20" t="str">
        <f>_xll.SUBNM("region06:Allocation List","Default","Allocation 1")</f>
        <v>Allocation 1</v>
      </c>
      <c r="D13" s="20" t="str">
        <f>_xll.SUBNM("region06:Month","MQY","Year")</f>
        <v>Year</v>
      </c>
      <c r="E13" s="20" t="str">
        <f>_xll.SUBNM("region06:Year","Default","Y2","Caption_Default")</f>
        <v>2021</v>
      </c>
      <c r="F13" s="138" t="str">
        <f>_xll.SUBNM("region06:Version","Current",_xll.DBR("region06:Calendar","Current Version","String"),"Caption_Default")</f>
        <v>Version1</v>
      </c>
      <c r="G13" s="138"/>
    </row>
    <row r="14" spans="1:10" s="42" customFormat="1" ht="7.5" customHeight="1" x14ac:dyDescent="0.25">
      <c r="C14" s="43"/>
      <c r="D14" s="43"/>
      <c r="E14" s="43"/>
    </row>
    <row r="15" spans="1:10" s="42" customFormat="1" ht="18.75" customHeight="1" x14ac:dyDescent="0.25">
      <c r="C15" s="19" t="s">
        <v>117</v>
      </c>
      <c r="D15" s="136" t="s">
        <v>2</v>
      </c>
      <c r="E15" s="137"/>
      <c r="F15" s="136" t="s">
        <v>4</v>
      </c>
      <c r="G15" s="137"/>
      <c r="H15" s="136" t="s">
        <v>8</v>
      </c>
      <c r="I15" s="137"/>
      <c r="J15" s="19" t="s">
        <v>215</v>
      </c>
    </row>
    <row r="16" spans="1:10" s="42" customFormat="1" x14ac:dyDescent="0.25">
      <c r="C16" s="20" t="str">
        <f>_xll.DBRW("region06:Allocation Source Definition",$C$13,$E$13,$F$13,"Desc")</f>
        <v>Travel Allocation</v>
      </c>
      <c r="D16" s="138" t="str">
        <f>_xll.DBRW("region06:Allocation Source Definition",$C$13,$E$13,$F$13,"zSource")</f>
        <v>Massachusetts</v>
      </c>
      <c r="E16" s="138"/>
      <c r="F16" s="138" t="str">
        <f>_xll.DBRW("region06:Allocation Source Definition",$C$13,$E$13,$F$13,$F$15)</f>
        <v>6199 OFFICE EXPENSE</v>
      </c>
      <c r="G16" s="138"/>
      <c r="H16" s="138" t="str">
        <f>_xll.DBRW("region06:Allocation Source Definition",$C$13,$E$13,$F$13,$H$15)</f>
        <v>FTE</v>
      </c>
      <c r="I16" s="138"/>
      <c r="J16" s="131">
        <f>_xll.DBRW("region06:Allocation Source Definition",$C$13,$E$13,$F$13,"Allocation Amount")</f>
        <v>39600.879999999983</v>
      </c>
    </row>
    <row r="17" spans="1:10" s="42" customFormat="1" ht="7.5" customHeight="1" x14ac:dyDescent="0.25"/>
    <row r="18" spans="1:10" s="42" customFormat="1" ht="12.75" customHeight="1" x14ac:dyDescent="0.25">
      <c r="D18" s="23" t="s">
        <v>220</v>
      </c>
      <c r="E18" s="23" t="s">
        <v>223</v>
      </c>
      <c r="F18" s="23" t="s">
        <v>62</v>
      </c>
      <c r="G18" s="23" t="s">
        <v>224</v>
      </c>
      <c r="H18" s="23" t="s">
        <v>64</v>
      </c>
      <c r="I18" s="23" t="s">
        <v>220</v>
      </c>
      <c r="J18" s="23" t="s">
        <v>220</v>
      </c>
    </row>
    <row r="19" spans="1:10" s="42" customFormat="1" ht="12.75" customHeight="1" thickBot="1" x14ac:dyDescent="0.3">
      <c r="C19" s="21"/>
      <c r="D19" s="21" t="s">
        <v>221</v>
      </c>
      <c r="E19" s="21" t="s">
        <v>222</v>
      </c>
      <c r="F19" s="21"/>
      <c r="G19" s="21" t="s">
        <v>62</v>
      </c>
      <c r="H19" s="21"/>
      <c r="I19" s="21" t="s">
        <v>225</v>
      </c>
      <c r="J19" s="21" t="s">
        <v>226</v>
      </c>
    </row>
    <row r="20" spans="1:10" s="44" customFormat="1" ht="33" hidden="1" customHeight="1" x14ac:dyDescent="0.25">
      <c r="D20" s="45" t="s">
        <v>7</v>
      </c>
      <c r="E20" s="45" t="s">
        <v>116</v>
      </c>
      <c r="F20" s="45" t="s">
        <v>62</v>
      </c>
      <c r="G20" s="45" t="s">
        <v>63</v>
      </c>
      <c r="H20" s="45" t="s">
        <v>64</v>
      </c>
      <c r="I20" s="45" t="s">
        <v>216</v>
      </c>
      <c r="J20" s="45" t="s">
        <v>215</v>
      </c>
    </row>
    <row r="21" spans="1:10" s="44" customFormat="1" ht="33" hidden="1" customHeight="1" x14ac:dyDescent="0.25">
      <c r="D21" s="45" t="s">
        <v>7</v>
      </c>
      <c r="E21" s="45" t="s">
        <v>116</v>
      </c>
      <c r="F21" s="45" t="s">
        <v>62</v>
      </c>
      <c r="G21" s="45" t="s">
        <v>63</v>
      </c>
      <c r="H21" s="45" t="s">
        <v>64</v>
      </c>
      <c r="I21" s="45" t="s">
        <v>65</v>
      </c>
      <c r="J21" s="45" t="s">
        <v>66</v>
      </c>
    </row>
    <row r="22" spans="1:10" ht="15" thickTop="1" x14ac:dyDescent="0.2">
      <c r="A22" s="116">
        <f>IF(_xll.TM1RPTELISCONSOLIDATED($C$22,$C22),IF(_xll.TM1RPTELLEV($C$22,$C22)&lt;=3,_xll.TM1RPTELLEV($C$22,$C22),"D"),"N")</f>
        <v>0</v>
      </c>
      <c r="B22" s="116"/>
      <c r="C22" s="147" t="str">
        <f>_xll.TM1RPTROW($C$9,"region06:organization","Workflow")</f>
        <v>Total Company</v>
      </c>
      <c r="D22" s="107">
        <f>_xll.DBRW($C$9,$C22,$C$13,$E$13,$D$13,$F$13,D$21)</f>
        <v>33600.880000000005</v>
      </c>
      <c r="E22" s="108" t="str">
        <f>_xll.DBRW($C$9,$C22,$C$13,$E$13,$D$13,$F$13,E$21)</f>
        <v/>
      </c>
      <c r="F22" s="107">
        <f>_xll.DBRW($C$9,$C22,$C$13,$E$13,$D$13,$F$13,F$21)</f>
        <v>43</v>
      </c>
      <c r="G22" s="107">
        <f>_xll.DBRW($C$9,$C22,$C$13,$E$13,$D$13,$F$13,G$21)</f>
        <v>43</v>
      </c>
      <c r="H22" s="109">
        <f>_xll.DBRW($C$9,$C22,$C$13,$E$13,$D$13,$F$13,H$21)</f>
        <v>1</v>
      </c>
      <c r="I22" s="107">
        <f>_xll.DBRW($C$9,$C22,$C$13,$E$13,$D$13,$F$13,I$21)</f>
        <v>33600.87999999999</v>
      </c>
      <c r="J22" s="107">
        <f>_xll.DBRW($C$9,$C22,$C$13,$E$13,$D$13,$F$13,J$21)</f>
        <v>-33600.87999999999</v>
      </c>
    </row>
    <row r="23" spans="1:10" x14ac:dyDescent="0.2">
      <c r="A23" s="116">
        <f>IF(_xll.TM1RPTELISCONSOLIDATED($C$22,$C23),IF(_xll.TM1RPTELLEV($C$22,$C23)&lt;=3,_xll.TM1RPTELLEV($C$22,$C23),"D"),"N")</f>
        <v>1</v>
      </c>
      <c r="B23" s="116"/>
      <c r="C23" s="146" t="s">
        <v>263</v>
      </c>
      <c r="D23" s="107">
        <f>_xll.DBRW($C$9,$C23,$C$13,$E$13,$D$13,$F$13,D$21)</f>
        <v>33600.880000000005</v>
      </c>
      <c r="E23" s="108" t="str">
        <f>_xll.DBRW($C$9,$C23,$C$13,$E$13,$D$13,$F$13,E$21)</f>
        <v/>
      </c>
      <c r="F23" s="107">
        <f>_xll.DBRW($C$9,$C23,$C$13,$E$13,$D$13,$F$13,F$21)</f>
        <v>9.5</v>
      </c>
      <c r="G23" s="107">
        <f>_xll.DBRW($C$9,$C23,$C$13,$E$13,$D$13,$F$13,G$21)</f>
        <v>43</v>
      </c>
      <c r="H23" s="109">
        <f>_xll.DBRW($C$9,$C23,$C$13,$E$13,$D$13,$F$13,H$21)</f>
        <v>0.22093023255813954</v>
      </c>
      <c r="I23" s="107">
        <f>_xll.DBRW($C$9,$C23,$C$13,$E$13,$D$13,$F$13,I$21)</f>
        <v>7529.2213601680032</v>
      </c>
      <c r="J23" s="107">
        <f>_xll.DBRW($C$9,$C23,$C$13,$E$13,$D$13,$F$13,J$21)</f>
        <v>-33600.87999999999</v>
      </c>
    </row>
    <row r="24" spans="1:10" x14ac:dyDescent="0.2">
      <c r="A24" s="116" t="str">
        <f>IF(_xll.TM1RPTELISCONSOLIDATED($C$22,$C24),IF(_xll.TM1RPTELLEV($C$22,$C24)&lt;=3,_xll.TM1RPTELLEV($C$22,$C24),"D"),"N")</f>
        <v>N</v>
      </c>
      <c r="B24" s="116"/>
      <c r="C24" s="117" t="s">
        <v>125</v>
      </c>
      <c r="D24" s="37">
        <f>_xll.DBRW($C$9,$C24,$C$13,$E$13,$D$13,$F$13,D$21)</f>
        <v>33600.880000000005</v>
      </c>
      <c r="E24" s="38" t="str">
        <f>_xll.DBRW($C$9,$C24,$C$13,$E$13,$D$13,$F$13,E$21)</f>
        <v>Y</v>
      </c>
      <c r="F24" s="37">
        <f>_xll.DBRW($C$9,$C24,$C$13,$E$13,$D$13,$F$13,F$21)</f>
        <v>0</v>
      </c>
      <c r="G24" s="37">
        <f>_xll.DBRW($C$9,$C24,$C$13,$E$13,$D$13,$F$13,G$21)</f>
        <v>43</v>
      </c>
      <c r="H24" s="39">
        <f>_xll.DBRW($C$9,$C24,$C$13,$E$13,$D$13,$F$13,H$21)</f>
        <v>0</v>
      </c>
      <c r="I24" s="37">
        <f>_xll.DBRW($C$9,$C24,$C$13,$E$13,$D$13,$F$13,I$21)</f>
        <v>0</v>
      </c>
      <c r="J24" s="37">
        <f>_xll.DBRW($C$9,$C24,$C$13,$E$13,$D$13,$F$13,J$21)</f>
        <v>-33600.87999999999</v>
      </c>
    </row>
    <row r="25" spans="1:10" x14ac:dyDescent="0.2">
      <c r="A25" s="116" t="str">
        <f>IF(_xll.TM1RPTELISCONSOLIDATED($C$22,$C25),IF(_xll.TM1RPTELLEV($C$22,$C25)&lt;=3,_xll.TM1RPTELLEV($C$22,$C25),"D"),"N")</f>
        <v>N</v>
      </c>
      <c r="B25" s="116"/>
      <c r="C25" s="117" t="s">
        <v>126</v>
      </c>
      <c r="D25" s="37">
        <f>_xll.DBRW($C$9,$C25,$C$13,$E$13,$D$13,$F$13,D$21)</f>
        <v>33600.880000000005</v>
      </c>
      <c r="E25" s="38" t="str">
        <f>_xll.DBRW($C$9,$C25,$C$13,$E$13,$D$13,$F$13,E$21)</f>
        <v/>
      </c>
      <c r="F25" s="37">
        <f>_xll.DBRW($C$9,$C25,$C$13,$E$13,$D$13,$F$13,F$21)</f>
        <v>4</v>
      </c>
      <c r="G25" s="37">
        <f>_xll.DBRW($C$9,$C25,$C$13,$E$13,$D$13,$F$13,G$21)</f>
        <v>43</v>
      </c>
      <c r="H25" s="39">
        <f>_xll.DBRW($C$9,$C25,$C$13,$E$13,$D$13,$F$13,H$21)</f>
        <v>9.3023255813953487E-2</v>
      </c>
      <c r="I25" s="37">
        <f>_xll.DBRW($C$9,$C25,$C$13,$E$13,$D$13,$F$13,I$21)</f>
        <v>3170.1984674391588</v>
      </c>
      <c r="J25" s="37">
        <f>_xll.DBRW($C$9,$C25,$C$13,$E$13,$D$13,$F$13,J$21)</f>
        <v>0</v>
      </c>
    </row>
    <row r="26" spans="1:10" x14ac:dyDescent="0.2">
      <c r="A26" s="116" t="str">
        <f>IF(_xll.TM1RPTELISCONSOLIDATED($C$22,$C26),IF(_xll.TM1RPTELLEV($C$22,$C26)&lt;=3,_xll.TM1RPTELLEV($C$22,$C26),"D"),"N")</f>
        <v>N</v>
      </c>
      <c r="B26" s="116"/>
      <c r="C26" s="117" t="s">
        <v>264</v>
      </c>
      <c r="D26" s="37">
        <f>_xll.DBRW($C$9,$C26,$C$13,$E$13,$D$13,$F$13,D$21)</f>
        <v>33600.880000000005</v>
      </c>
      <c r="E26" s="38" t="str">
        <f>_xll.DBRW($C$9,$C26,$C$13,$E$13,$D$13,$F$13,E$21)</f>
        <v/>
      </c>
      <c r="F26" s="37">
        <f>_xll.DBRW($C$9,$C26,$C$13,$E$13,$D$13,$F$13,F$21)</f>
        <v>5.5</v>
      </c>
      <c r="G26" s="37">
        <f>_xll.DBRW($C$9,$C26,$C$13,$E$13,$D$13,$F$13,G$21)</f>
        <v>43</v>
      </c>
      <c r="H26" s="39">
        <f>_xll.DBRW($C$9,$C26,$C$13,$E$13,$D$13,$F$13,H$21)</f>
        <v>0.12790697674418605</v>
      </c>
      <c r="I26" s="37">
        <f>_xll.DBRW($C$9,$C26,$C$13,$E$13,$D$13,$F$13,I$21)</f>
        <v>4359.0228927288445</v>
      </c>
      <c r="J26" s="37">
        <f>_xll.DBRW($C$9,$C26,$C$13,$E$13,$D$13,$F$13,J$21)</f>
        <v>0</v>
      </c>
    </row>
    <row r="27" spans="1:10" x14ac:dyDescent="0.2">
      <c r="A27" s="116">
        <f>IF(_xll.TM1RPTELISCONSOLIDATED($C$22,$C27),IF(_xll.TM1RPTELLEV($C$22,$C27)&lt;=3,_xll.TM1RPTELLEV($C$22,$C27),"D"),"N")</f>
        <v>1</v>
      </c>
      <c r="B27" s="116"/>
      <c r="C27" s="146" t="s">
        <v>127</v>
      </c>
      <c r="D27" s="107">
        <f>_xll.DBRW($C$9,$C27,$C$13,$E$13,$D$13,$F$13,D$21)</f>
        <v>33600.880000000005</v>
      </c>
      <c r="E27" s="108" t="str">
        <f>_xll.DBRW($C$9,$C27,$C$13,$E$13,$D$13,$F$13,E$21)</f>
        <v/>
      </c>
      <c r="F27" s="107">
        <f>_xll.DBRW($C$9,$C27,$C$13,$E$13,$D$13,$F$13,F$21)</f>
        <v>9</v>
      </c>
      <c r="G27" s="107">
        <f>_xll.DBRW($C$9,$C27,$C$13,$E$13,$D$13,$F$13,G$21)</f>
        <v>43</v>
      </c>
      <c r="H27" s="109">
        <f>_xll.DBRW($C$9,$C27,$C$13,$E$13,$D$13,$F$13,H$21)</f>
        <v>0.20930232558139536</v>
      </c>
      <c r="I27" s="107">
        <f>_xll.DBRW($C$9,$C27,$C$13,$E$13,$D$13,$F$13,I$21)</f>
        <v>7132.9465517381068</v>
      </c>
      <c r="J27" s="107">
        <f>_xll.DBRW($C$9,$C27,$C$13,$E$13,$D$13,$F$13,J$21)</f>
        <v>0</v>
      </c>
    </row>
    <row r="28" spans="1:10" x14ac:dyDescent="0.2">
      <c r="A28" s="116" t="str">
        <f>IF(_xll.TM1RPTELISCONSOLIDATED($C$22,$C28),IF(_xll.TM1RPTELLEV($C$22,$C28)&lt;=3,_xll.TM1RPTELLEV($C$22,$C28),"D"),"N")</f>
        <v>N</v>
      </c>
      <c r="B28" s="116"/>
      <c r="C28" s="117" t="s">
        <v>128</v>
      </c>
      <c r="D28" s="37">
        <f>_xll.DBRW($C$9,$C28,$C$13,$E$13,$D$13,$F$13,D$21)</f>
        <v>33600.880000000005</v>
      </c>
      <c r="E28" s="38" t="str">
        <f>_xll.DBRW($C$9,$C28,$C$13,$E$13,$D$13,$F$13,E$21)</f>
        <v/>
      </c>
      <c r="F28" s="37">
        <f>_xll.DBRW($C$9,$C28,$C$13,$E$13,$D$13,$F$13,F$21)</f>
        <v>5</v>
      </c>
      <c r="G28" s="37">
        <f>_xll.DBRW($C$9,$C28,$C$13,$E$13,$D$13,$F$13,G$21)</f>
        <v>43</v>
      </c>
      <c r="H28" s="39">
        <f>_xll.DBRW($C$9,$C28,$C$13,$E$13,$D$13,$F$13,H$21)</f>
        <v>0.11627906976744186</v>
      </c>
      <c r="I28" s="37">
        <f>_xll.DBRW($C$9,$C28,$C$13,$E$13,$D$13,$F$13,I$21)</f>
        <v>3962.7480842989485</v>
      </c>
      <c r="J28" s="37">
        <f>_xll.DBRW($C$9,$C28,$C$13,$E$13,$D$13,$F$13,J$21)</f>
        <v>0</v>
      </c>
    </row>
    <row r="29" spans="1:10" x14ac:dyDescent="0.2">
      <c r="A29" s="116" t="str">
        <f>IF(_xll.TM1RPTELISCONSOLIDATED($C$22,$C29),IF(_xll.TM1RPTELLEV($C$22,$C29)&lt;=3,_xll.TM1RPTELLEV($C$22,$C29),"D"),"N")</f>
        <v>N</v>
      </c>
      <c r="B29" s="116"/>
      <c r="C29" s="117" t="s">
        <v>129</v>
      </c>
      <c r="D29" s="37">
        <f>_xll.DBRW($C$9,$C29,$C$13,$E$13,$D$13,$F$13,D$21)</f>
        <v>33600.880000000005</v>
      </c>
      <c r="E29" s="38" t="str">
        <f>_xll.DBRW($C$9,$C29,$C$13,$E$13,$D$13,$F$13,E$21)</f>
        <v/>
      </c>
      <c r="F29" s="37">
        <f>_xll.DBRW($C$9,$C29,$C$13,$E$13,$D$13,$F$13,F$21)</f>
        <v>4</v>
      </c>
      <c r="G29" s="37">
        <f>_xll.DBRW($C$9,$C29,$C$13,$E$13,$D$13,$F$13,G$21)</f>
        <v>43</v>
      </c>
      <c r="H29" s="39">
        <f>_xll.DBRW($C$9,$C29,$C$13,$E$13,$D$13,$F$13,H$21)</f>
        <v>9.3023255813953487E-2</v>
      </c>
      <c r="I29" s="37">
        <f>_xll.DBRW($C$9,$C29,$C$13,$E$13,$D$13,$F$13,I$21)</f>
        <v>3170.1984674391588</v>
      </c>
      <c r="J29" s="37">
        <f>_xll.DBRW($C$9,$C29,$C$13,$E$13,$D$13,$F$13,J$21)</f>
        <v>0</v>
      </c>
    </row>
    <row r="30" spans="1:10" x14ac:dyDescent="0.2">
      <c r="A30" s="116">
        <f>IF(_xll.TM1RPTELISCONSOLIDATED($C$22,$C30),IF(_xll.TM1RPTELLEV($C$22,$C30)&lt;=3,_xll.TM1RPTELLEV($C$22,$C30),"D"),"N")</f>
        <v>1</v>
      </c>
      <c r="B30" s="116"/>
      <c r="C30" s="146" t="s">
        <v>265</v>
      </c>
      <c r="D30" s="107">
        <f>_xll.DBRW($C$9,$C30,$C$13,$E$13,$D$13,$F$13,D$21)</f>
        <v>33600.880000000005</v>
      </c>
      <c r="E30" s="108" t="str">
        <f>_xll.DBRW($C$9,$C30,$C$13,$E$13,$D$13,$F$13,E$21)</f>
        <v/>
      </c>
      <c r="F30" s="107">
        <f>_xll.DBRW($C$9,$C30,$C$13,$E$13,$D$13,$F$13,F$21)</f>
        <v>9.5</v>
      </c>
      <c r="G30" s="107">
        <f>_xll.DBRW($C$9,$C30,$C$13,$E$13,$D$13,$F$13,G$21)</f>
        <v>43</v>
      </c>
      <c r="H30" s="109">
        <f>_xll.DBRW($C$9,$C30,$C$13,$E$13,$D$13,$F$13,H$21)</f>
        <v>0.22093023255813954</v>
      </c>
      <c r="I30" s="107">
        <f>_xll.DBRW($C$9,$C30,$C$13,$E$13,$D$13,$F$13,I$21)</f>
        <v>7050.4678351970379</v>
      </c>
      <c r="J30" s="107">
        <f>_xll.DBRW($C$9,$C30,$C$13,$E$13,$D$13,$F$13,J$21)</f>
        <v>0</v>
      </c>
    </row>
    <row r="31" spans="1:10" x14ac:dyDescent="0.2">
      <c r="A31" s="116" t="str">
        <f>IF(_xll.TM1RPTELISCONSOLIDATED($C$22,$C31),IF(_xll.TM1RPTELLEV($C$22,$C31)&lt;=3,_xll.TM1RPTELLEV($C$22,$C31),"D"),"N")</f>
        <v>N</v>
      </c>
      <c r="B31" s="116"/>
      <c r="C31" s="117" t="s">
        <v>130</v>
      </c>
      <c r="D31" s="37">
        <f>_xll.DBRW($C$9,$C31,$C$13,$E$13,$D$13,$F$13,D$21)</f>
        <v>33600.880000000005</v>
      </c>
      <c r="E31" s="38" t="str">
        <f>_xll.DBRW($C$9,$C31,$C$13,$E$13,$D$13,$F$13,E$21)</f>
        <v/>
      </c>
      <c r="F31" s="37">
        <f>_xll.DBRW($C$9,$C31,$C$13,$E$13,$D$13,$F$13,F$21)</f>
        <v>4.5</v>
      </c>
      <c r="G31" s="37">
        <f>_xll.DBRW($C$9,$C31,$C$13,$E$13,$D$13,$F$13,G$21)</f>
        <v>43</v>
      </c>
      <c r="H31" s="39">
        <f>_xll.DBRW($C$9,$C31,$C$13,$E$13,$D$13,$F$13,H$21)</f>
        <v>0.10465116279069768</v>
      </c>
      <c r="I31" s="37">
        <f>_xll.DBRW($C$9,$C31,$C$13,$E$13,$D$13,$F$13,I$21)</f>
        <v>3566.4732758690534</v>
      </c>
      <c r="J31" s="37">
        <f>_xll.DBRW($C$9,$C31,$C$13,$E$13,$D$13,$F$13,J$21)</f>
        <v>0</v>
      </c>
    </row>
    <row r="32" spans="1:10" x14ac:dyDescent="0.2">
      <c r="A32" s="116" t="str">
        <f>IF(_xll.TM1RPTELISCONSOLIDATED($C$22,$C32),IF(_xll.TM1RPTELLEV($C$22,$C32)&lt;=3,_xll.TM1RPTELLEV($C$22,$C32),"D"),"N")</f>
        <v>N</v>
      </c>
      <c r="B32" s="116"/>
      <c r="C32" s="117" t="s">
        <v>131</v>
      </c>
      <c r="D32" s="37">
        <f>_xll.DBRW($C$9,$C32,$C$13,$E$13,$D$13,$F$13,D$21)</f>
        <v>33600.880000000005</v>
      </c>
      <c r="E32" s="38" t="str">
        <f>_xll.DBRW($C$9,$C32,$C$13,$E$13,$D$13,$F$13,E$21)</f>
        <v/>
      </c>
      <c r="F32" s="37">
        <f>_xll.DBRW($C$9,$C32,$C$13,$E$13,$D$13,$F$13,F$21)</f>
        <v>5</v>
      </c>
      <c r="G32" s="37">
        <f>_xll.DBRW($C$9,$C32,$C$13,$E$13,$D$13,$F$13,G$21)</f>
        <v>43</v>
      </c>
      <c r="H32" s="39">
        <f>_xll.DBRW($C$9,$C32,$C$13,$E$13,$D$13,$F$13,H$21)</f>
        <v>0.11627906976744186</v>
      </c>
      <c r="I32" s="37">
        <f>_xll.DBRW($C$9,$C32,$C$13,$E$13,$D$13,$F$13,I$21)</f>
        <v>3483.9945593279845</v>
      </c>
      <c r="J32" s="37">
        <f>_xll.DBRW($C$9,$C32,$C$13,$E$13,$D$13,$F$13,J$21)</f>
        <v>0</v>
      </c>
    </row>
    <row r="33" spans="1:10" x14ac:dyDescent="0.2">
      <c r="A33" s="116">
        <f>IF(_xll.TM1RPTELISCONSOLIDATED($C$22,$C33),IF(_xll.TM1RPTELLEV($C$22,$C33)&lt;=3,_xll.TM1RPTELLEV($C$22,$C33),"D"),"N")</f>
        <v>1</v>
      </c>
      <c r="B33" s="116"/>
      <c r="C33" s="146" t="s">
        <v>132</v>
      </c>
      <c r="D33" s="107">
        <f>_xll.DBRW($C$9,$C33,$C$13,$E$13,$D$13,$F$13,D$21)</f>
        <v>33600.880000000005</v>
      </c>
      <c r="E33" s="108" t="str">
        <f>_xll.DBRW($C$9,$C33,$C$13,$E$13,$D$13,$F$13,E$21)</f>
        <v/>
      </c>
      <c r="F33" s="107">
        <f>_xll.DBRW($C$9,$C33,$C$13,$E$13,$D$13,$F$13,F$21)</f>
        <v>15</v>
      </c>
      <c r="G33" s="107">
        <f>_xll.DBRW($C$9,$C33,$C$13,$E$13,$D$13,$F$13,G$21)</f>
        <v>43</v>
      </c>
      <c r="H33" s="109">
        <f>_xll.DBRW($C$9,$C33,$C$13,$E$13,$D$13,$F$13,H$21)</f>
        <v>0.34883720930232559</v>
      </c>
      <c r="I33" s="107">
        <f>_xll.DBRW($C$9,$C33,$C$13,$E$13,$D$13,$F$13,I$21)</f>
        <v>11888.244252896846</v>
      </c>
      <c r="J33" s="107">
        <f>_xll.DBRW($C$9,$C33,$C$13,$E$13,$D$13,$F$13,J$21)</f>
        <v>0</v>
      </c>
    </row>
    <row r="34" spans="1:10" x14ac:dyDescent="0.2">
      <c r="A34" s="116" t="str">
        <f>IF(_xll.TM1RPTELISCONSOLIDATED($C$22,$C34),IF(_xll.TM1RPTELLEV($C$22,$C34)&lt;=3,_xll.TM1RPTELLEV($C$22,$C34),"D"),"N")</f>
        <v>N</v>
      </c>
      <c r="B34" s="116"/>
      <c r="C34" s="117" t="s">
        <v>266</v>
      </c>
      <c r="D34" s="37">
        <f>_xll.DBRW($C$9,$C34,$C$13,$E$13,$D$13,$F$13,D$21)</f>
        <v>33600.880000000005</v>
      </c>
      <c r="E34" s="38" t="str">
        <f>_xll.DBRW($C$9,$C34,$C$13,$E$13,$D$13,$F$13,E$21)</f>
        <v/>
      </c>
      <c r="F34" s="37">
        <f>_xll.DBRW($C$9,$C34,$C$13,$E$13,$D$13,$F$13,F$21)</f>
        <v>5</v>
      </c>
      <c r="G34" s="37">
        <f>_xll.DBRW($C$9,$C34,$C$13,$E$13,$D$13,$F$13,G$21)</f>
        <v>43</v>
      </c>
      <c r="H34" s="39">
        <f>_xll.DBRW($C$9,$C34,$C$13,$E$13,$D$13,$F$13,H$21)</f>
        <v>0.11627906976744186</v>
      </c>
      <c r="I34" s="37">
        <f>_xll.DBRW($C$9,$C34,$C$13,$E$13,$D$13,$F$13,I$21)</f>
        <v>3962.7480842989485</v>
      </c>
      <c r="J34" s="37">
        <f>_xll.DBRW($C$9,$C34,$C$13,$E$13,$D$13,$F$13,J$21)</f>
        <v>0</v>
      </c>
    </row>
    <row r="35" spans="1:10" x14ac:dyDescent="0.2">
      <c r="A35" s="116" t="str">
        <f>IF(_xll.TM1RPTELISCONSOLIDATED($C$22,$C35),IF(_xll.TM1RPTELLEV($C$22,$C35)&lt;=3,_xll.TM1RPTELLEV($C$22,$C35),"D"),"N")</f>
        <v>N</v>
      </c>
      <c r="B35" s="116"/>
      <c r="C35" s="117" t="s">
        <v>267</v>
      </c>
      <c r="D35" s="37">
        <f>_xll.DBRW($C$9,$C35,$C$13,$E$13,$D$13,$F$13,D$21)</f>
        <v>33600.880000000005</v>
      </c>
      <c r="E35" s="38" t="str">
        <f>_xll.DBRW($C$9,$C35,$C$13,$E$13,$D$13,$F$13,E$21)</f>
        <v/>
      </c>
      <c r="F35" s="37">
        <f>_xll.DBRW($C$9,$C35,$C$13,$E$13,$D$13,$F$13,F$21)</f>
        <v>4.5</v>
      </c>
      <c r="G35" s="37">
        <f>_xll.DBRW($C$9,$C35,$C$13,$E$13,$D$13,$F$13,G$21)</f>
        <v>43</v>
      </c>
      <c r="H35" s="39">
        <f>_xll.DBRW($C$9,$C35,$C$13,$E$13,$D$13,$F$13,H$21)</f>
        <v>0.10465116279069768</v>
      </c>
      <c r="I35" s="37">
        <f>_xll.DBRW($C$9,$C35,$C$13,$E$13,$D$13,$F$13,I$21)</f>
        <v>3566.4732758690534</v>
      </c>
      <c r="J35" s="37">
        <f>_xll.DBRW($C$9,$C35,$C$13,$E$13,$D$13,$F$13,J$21)</f>
        <v>0</v>
      </c>
    </row>
    <row r="36" spans="1:10" x14ac:dyDescent="0.2">
      <c r="A36" s="116" t="str">
        <f>IF(_xll.TM1RPTELISCONSOLIDATED($C$22,$C36),IF(_xll.TM1RPTELLEV($C$22,$C36)&lt;=3,_xll.TM1RPTELLEV($C$22,$C36),"D"),"N")</f>
        <v>N</v>
      </c>
      <c r="B36" s="116"/>
      <c r="C36" s="117" t="s">
        <v>268</v>
      </c>
      <c r="D36" s="37">
        <f>_xll.DBRW($C$9,$C36,$C$13,$E$13,$D$13,$F$13,D$21)</f>
        <v>33600.880000000005</v>
      </c>
      <c r="E36" s="38" t="str">
        <f>_xll.DBRW($C$9,$C36,$C$13,$E$13,$D$13,$F$13,E$21)</f>
        <v/>
      </c>
      <c r="F36" s="37">
        <f>_xll.DBRW($C$9,$C36,$C$13,$E$13,$D$13,$F$13,F$21)</f>
        <v>5.5</v>
      </c>
      <c r="G36" s="37">
        <f>_xll.DBRW($C$9,$C36,$C$13,$E$13,$D$13,$F$13,G$21)</f>
        <v>43</v>
      </c>
      <c r="H36" s="39">
        <f>_xll.DBRW($C$9,$C36,$C$13,$E$13,$D$13,$F$13,H$21)</f>
        <v>0.12790697674418605</v>
      </c>
      <c r="I36" s="37">
        <f>_xll.DBRW($C$9,$C36,$C$13,$E$13,$D$13,$F$13,I$21)</f>
        <v>4359.0228927288445</v>
      </c>
      <c r="J36" s="37">
        <f>_xll.DBRW($C$9,$C36,$C$13,$E$13,$D$13,$F$13,J$21)</f>
        <v>0</v>
      </c>
    </row>
  </sheetData>
  <mergeCells count="8">
    <mergeCell ref="H16:I16"/>
    <mergeCell ref="D15:E15"/>
    <mergeCell ref="D16:E16"/>
    <mergeCell ref="F16:G16"/>
    <mergeCell ref="F12:G12"/>
    <mergeCell ref="F13:G13"/>
    <mergeCell ref="F15:G15"/>
    <mergeCell ref="H15:I15"/>
  </mergeCells>
  <phoneticPr fontId="12" type="noConversion"/>
  <dataValidations count="1">
    <dataValidation allowBlank="1" showInputMessage="1" showErrorMessage="1" error="The value you entered is not valid._x000a_A user has restricted values that can be entered into this cell." sqref="J16" xr:uid="{00000000-0002-0000-0300-000000000000}"/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I20"/>
  <sheetViews>
    <sheetView showGridLines="0" topLeftCell="A2" workbookViewId="0">
      <selection sqref="A1:B1"/>
    </sheetView>
  </sheetViews>
  <sheetFormatPr defaultRowHeight="14.25" x14ac:dyDescent="0.2"/>
  <cols>
    <col min="1" max="1" width="1.28515625" style="40" customWidth="1"/>
    <col min="2" max="2" width="14.28515625" style="40" bestFit="1" customWidth="1"/>
    <col min="3" max="3" width="17.5703125" style="40" customWidth="1"/>
    <col min="4" max="4" width="16.5703125" style="40" bestFit="1" customWidth="1"/>
    <col min="5" max="5" width="16" style="40" bestFit="1" customWidth="1"/>
    <col min="6" max="6" width="17.28515625" style="40" bestFit="1" customWidth="1"/>
    <col min="7" max="7" width="7.28515625" style="40" customWidth="1"/>
    <col min="8" max="8" width="12.5703125" style="40" customWidth="1"/>
    <col min="9" max="9" width="12" style="40" customWidth="1"/>
    <col min="10" max="16384" width="9.140625" style="40"/>
  </cols>
  <sheetData>
    <row r="1" spans="1:9" ht="15.75" hidden="1" x14ac:dyDescent="0.2">
      <c r="A1" s="139"/>
      <c r="B1" s="140" t="s">
        <v>61</v>
      </c>
      <c r="C1" s="139" t="str">
        <f>_xll.VIEW("region06:Allocation Calculation",$B$5,"!",$E$5,$D$5,$F$5,"!")</f>
        <v>region06:Allocation Calculation</v>
      </c>
      <c r="D1" s="140"/>
      <c r="E1" s="139"/>
      <c r="F1" s="140"/>
      <c r="G1" s="139"/>
      <c r="H1" s="140"/>
      <c r="I1" s="22"/>
    </row>
    <row r="2" spans="1:9" ht="37.5" customHeight="1" x14ac:dyDescent="0.2">
      <c r="A2" s="22"/>
      <c r="B2" s="22" t="s">
        <v>231</v>
      </c>
      <c r="C2" s="22"/>
      <c r="D2" s="22"/>
      <c r="E2" s="22"/>
      <c r="F2" s="22"/>
      <c r="G2" s="22"/>
      <c r="H2" s="22"/>
      <c r="I2" s="22"/>
    </row>
    <row r="3" spans="1:9" ht="7.5" customHeight="1" x14ac:dyDescent="0.2"/>
    <row r="4" spans="1:9" x14ac:dyDescent="0.2">
      <c r="B4" s="141" t="s">
        <v>23</v>
      </c>
      <c r="C4" s="137"/>
      <c r="D4" s="19" t="s">
        <v>54</v>
      </c>
      <c r="E4" s="19" t="s">
        <v>0</v>
      </c>
      <c r="F4" s="19" t="s">
        <v>1</v>
      </c>
    </row>
    <row r="5" spans="1:9" x14ac:dyDescent="0.2">
      <c r="B5" s="138" t="str">
        <f>_xll.SUBNM("region06:organization","Default","101","Caption_Base")</f>
        <v>Massachusetts</v>
      </c>
      <c r="C5" s="138"/>
      <c r="D5" s="20" t="str">
        <f>_xll.SUBNM("region06:Month","Default","Year")</f>
        <v>Year</v>
      </c>
      <c r="E5" s="20" t="str">
        <f>_xll.SUBNM("region06:Year","Default","Y2","Caption_Default")</f>
        <v>2021</v>
      </c>
      <c r="F5" s="20" t="str">
        <f>_xll.SUBNM("region06:Version","Current",_xll.DBR("region06:Calendar","Current Version","String"),"Caption_Default")</f>
        <v>Version1</v>
      </c>
    </row>
    <row r="6" spans="1:9" x14ac:dyDescent="0.2">
      <c r="B6" s="52"/>
      <c r="C6" s="52"/>
    </row>
    <row r="7" spans="1:9" ht="13.5" customHeight="1" x14ac:dyDescent="0.2">
      <c r="B7" s="52"/>
      <c r="C7" s="23" t="s">
        <v>228</v>
      </c>
      <c r="D7" s="23" t="s">
        <v>228</v>
      </c>
      <c r="E7" s="23" t="s">
        <v>220</v>
      </c>
      <c r="F7" s="23" t="s">
        <v>220</v>
      </c>
      <c r="G7" s="23" t="s">
        <v>64</v>
      </c>
      <c r="H7" s="23" t="s">
        <v>230</v>
      </c>
      <c r="I7" s="23" t="s">
        <v>220</v>
      </c>
    </row>
    <row r="8" spans="1:9" ht="13.5" customHeight="1" thickBot="1" x14ac:dyDescent="0.25">
      <c r="B8" s="21"/>
      <c r="C8" s="21" t="s">
        <v>222</v>
      </c>
      <c r="D8" s="21" t="s">
        <v>72</v>
      </c>
      <c r="E8" s="21" t="s">
        <v>229</v>
      </c>
      <c r="F8" s="21" t="s">
        <v>221</v>
      </c>
      <c r="G8" s="21"/>
      <c r="H8" s="21" t="s">
        <v>221</v>
      </c>
      <c r="I8" s="21" t="s">
        <v>224</v>
      </c>
    </row>
    <row r="9" spans="1:9" ht="15" hidden="1" thickTop="1" x14ac:dyDescent="0.2">
      <c r="C9" s="40" t="s">
        <v>2</v>
      </c>
      <c r="D9" s="40" t="s">
        <v>4</v>
      </c>
      <c r="E9" s="40" t="s">
        <v>8</v>
      </c>
      <c r="F9" s="40" t="s">
        <v>65</v>
      </c>
      <c r="G9" s="40" t="s">
        <v>64</v>
      </c>
      <c r="H9" s="40" t="s">
        <v>66</v>
      </c>
      <c r="I9" s="40" t="s">
        <v>66</v>
      </c>
    </row>
    <row r="10" spans="1:9" ht="15" thickTop="1" x14ac:dyDescent="0.2">
      <c r="B10" s="120" t="s">
        <v>68</v>
      </c>
      <c r="C10" s="53" t="str">
        <f>_xll.DBRW($C$1,$B$5,$B10,$E$5,$D$5,$F$5,C$9)</f>
        <v>Massachusetts</v>
      </c>
      <c r="D10" s="54" t="str">
        <f>_xll.DBRW($C$1,$B$5,$B10,$E$5,$D$5,$F$5,D$9)</f>
        <v>6199 OFFICE EXPENSE</v>
      </c>
      <c r="E10" s="54" t="str">
        <f>_xll.DBRW($C$1,$B$5,$B10,$E$5,$D$5,$F$5,E$9)</f>
        <v>FTE</v>
      </c>
      <c r="F10" s="55">
        <f>_xll.DBRW($C$1,$B$5,$B10,$E$5,$D$5,$F$5,F$9)</f>
        <v>0</v>
      </c>
      <c r="G10" s="56">
        <f>_xll.DBRW($C$1,$B$5,$B10,$E$5,$D$5,$F$5,G$9)</f>
        <v>0</v>
      </c>
      <c r="H10" s="57">
        <f>_xll.DBRW($C$1,$B$5,$B10,$E$5,$D$5,$F$5,H$9)</f>
        <v>-33600.87999999999</v>
      </c>
      <c r="I10" s="57">
        <f>IF(ISERR(F10+H10),0,F10+H10)</f>
        <v>-33600.87999999999</v>
      </c>
    </row>
    <row r="11" spans="1:9" x14ac:dyDescent="0.2">
      <c r="B11" s="120" t="s">
        <v>13</v>
      </c>
      <c r="C11" s="53" t="str">
        <f>_xll.DBRW($C$1,$B$5,$B11,$E$5,$D$5,$F$5,C$9)</f>
        <v>Maryland</v>
      </c>
      <c r="D11" s="54" t="str">
        <f>_xll.DBRW($C$1,$B$5,$B11,$E$5,$D$5,$F$5,D$9)</f>
        <v>6099 PAYROLL</v>
      </c>
      <c r="E11" s="54" t="str">
        <f>_xll.DBRW($C$1,$B$5,$B11,$E$5,$D$5,$F$5,E$9)</f>
        <v>Server Space</v>
      </c>
      <c r="F11" s="55">
        <f>_xll.DBRW($C$1,$B$5,$B11,$E$5,$D$5,$F$5,F$9)</f>
        <v>10664.335209789537</v>
      </c>
      <c r="G11" s="56">
        <f>_xll.DBRW($C$1,$B$5,$B11,$E$5,$D$5,$F$5,G$9)</f>
        <v>1.8867924528301886E-2</v>
      </c>
      <c r="H11" s="57">
        <f>_xll.DBRW($C$1,$B$5,$B11,$E$5,$D$5,$F$5,H$9)</f>
        <v>0</v>
      </c>
      <c r="I11" s="57">
        <f>IF(ISERR(F11+H11),0,F11+H11)</f>
        <v>10664.335209789537</v>
      </c>
    </row>
    <row r="12" spans="1:9" x14ac:dyDescent="0.2">
      <c r="B12" s="120" t="s">
        <v>14</v>
      </c>
      <c r="C12" s="53" t="str">
        <f>_xll.DBRW($C$1,$B$5,$B12,$E$5,$D$5,$F$5,C$9)</f>
        <v>Florida</v>
      </c>
      <c r="D12" s="54" t="str">
        <f>_xll.DBRW($C$1,$B$5,$B12,$E$5,$D$5,$F$5,D$9)</f>
        <v>6399 OCCUPANCY</v>
      </c>
      <c r="E12" s="54" t="str">
        <f>_xll.DBRW($C$1,$B$5,$B12,$E$5,$D$5,$F$5,E$9)</f>
        <v>Square Footage</v>
      </c>
      <c r="F12" s="55">
        <f>_xll.DBRW($C$1,$B$5,$B12,$E$5,$D$5,$F$5,F$9)</f>
        <v>6230.7692307692296</v>
      </c>
      <c r="G12" s="56">
        <f>_xll.DBRW($C$1,$B$5,$B12,$E$5,$D$5,$F$5,G$9)</f>
        <v>1.9230769230769232E-2</v>
      </c>
      <c r="H12" s="57">
        <f>_xll.DBRW($C$1,$B$5,$B12,$E$5,$D$5,$F$5,H$9)</f>
        <v>0</v>
      </c>
      <c r="I12" s="57">
        <f>IF(ISERR(F12+H12),0,F12+H12)</f>
        <v>6230.7692307692296</v>
      </c>
    </row>
    <row r="13" spans="1:9" x14ac:dyDescent="0.2">
      <c r="B13" s="120" t="s">
        <v>15</v>
      </c>
      <c r="C13" s="53" t="str">
        <f>_xll.DBRW($C$1,$B$5,$B13,$E$5,$D$5,$F$5,C$9)</f>
        <v>California</v>
      </c>
      <c r="D13" s="54" t="str">
        <f>_xll.DBRW($C$1,$B$5,$B13,$E$5,$D$5,$F$5,D$9)</f>
        <v>Total Operating Expense</v>
      </c>
      <c r="E13" s="54" t="str">
        <f>_xll.DBRW($C$1,$B$5,$B13,$E$5,$D$5,$F$5,E$9)</f>
        <v>4999 Gross Revenue</v>
      </c>
      <c r="F13" s="55">
        <f>_xll.DBRW($C$1,$B$5,$B13,$E$5,$D$5,$F$5,F$9)</f>
        <v>182737.5466720158</v>
      </c>
      <c r="G13" s="56">
        <f>_xll.DBRW($C$1,$B$5,$B13,$E$5,$D$5,$F$5,G$9)</f>
        <v>0.12241212981580708</v>
      </c>
      <c r="H13" s="57">
        <f>_xll.DBRW($C$1,$B$5,$B13,$E$5,$D$5,$F$5,H$9)</f>
        <v>0</v>
      </c>
      <c r="I13" s="57">
        <f>IF(ISERR(F13+H13),0,F13+H13)</f>
        <v>182737.5466720158</v>
      </c>
    </row>
    <row r="14" spans="1:9" x14ac:dyDescent="0.2">
      <c r="B14" s="120" t="s">
        <v>16</v>
      </c>
      <c r="C14" s="53" t="str">
        <f>_xll.DBRW($C$1,$B$5,$B14,$E$5,$D$5,$F$5,C$9)</f>
        <v>Florida</v>
      </c>
      <c r="D14" s="54" t="str">
        <f>_xll.DBRW($C$1,$B$5,$B14,$E$5,$D$5,$F$5,D$9)</f>
        <v>Total Operating Expense</v>
      </c>
      <c r="E14" s="54" t="str">
        <f>_xll.DBRW($C$1,$B$5,$B14,$E$5,$D$5,$F$5,E$9)</f>
        <v>Net Profit</v>
      </c>
      <c r="F14" s="55">
        <f>_xll.DBRW($C$1,$B$5,$B14,$E$5,$D$5,$F$5,F$9)</f>
        <v>74229.653518099425</v>
      </c>
      <c r="G14" s="56">
        <f>_xll.DBRW($C$1,$B$5,$B14,$E$5,$D$5,$F$5,G$9)</f>
        <v>4.7419300968930315E-2</v>
      </c>
      <c r="H14" s="57">
        <f>_xll.DBRW($C$1,$B$5,$B14,$E$5,$D$5,$F$5,H$9)</f>
        <v>0</v>
      </c>
      <c r="I14" s="57">
        <f t="shared" ref="I14:I19" si="0">IF(ISERR(F14+H14),0,F14+H14)</f>
        <v>74229.653518099425</v>
      </c>
    </row>
    <row r="15" spans="1:9" x14ac:dyDescent="0.2">
      <c r="B15" s="120" t="s">
        <v>17</v>
      </c>
      <c r="C15" s="53" t="str">
        <f>_xll.DBRW($C$1,$B$5,$B15,$E$5,$D$5,$F$5,C$9)</f>
        <v>Ontario</v>
      </c>
      <c r="D15" s="54" t="str">
        <f>_xll.DBRW($C$1,$B$5,$B15,$E$5,$D$5,$F$5,D$9)</f>
        <v>6120 Office Supplies</v>
      </c>
      <c r="E15" s="54" t="str">
        <f>_xll.DBRW($C$1,$B$5,$B15,$E$5,$D$5,$F$5,E$9)</f>
        <v>FTE</v>
      </c>
      <c r="F15" s="55">
        <f>_xll.DBRW($C$1,$B$5,$B15,$E$5,$D$5,$F$5,F$9)</f>
        <v>447.77303899017647</v>
      </c>
      <c r="G15" s="56">
        <f>_xll.DBRW($C$1,$B$5,$B15,$E$5,$D$5,$F$5,G$9)</f>
        <v>0.10588235294117647</v>
      </c>
      <c r="H15" s="57">
        <f>_xll.DBRW($C$1,$B$5,$B15,$E$5,$D$5,$F$5,H$9)</f>
        <v>0</v>
      </c>
      <c r="I15" s="57">
        <f t="shared" si="0"/>
        <v>447.77303899017647</v>
      </c>
    </row>
    <row r="16" spans="1:9" x14ac:dyDescent="0.2">
      <c r="B16" s="120" t="s">
        <v>18</v>
      </c>
      <c r="C16" s="53" t="str">
        <f>_xll.DBRW($C$1,$B$5,$B16,$E$5,$D$5,$F$5,C$9)</f>
        <v>Quebec</v>
      </c>
      <c r="D16" s="54" t="str">
        <f>_xll.DBRW($C$1,$B$5,$B16,$E$5,$D$5,$F$5,D$9)</f>
        <v>6000 Salaries</v>
      </c>
      <c r="E16" s="54" t="str">
        <f>_xll.DBRW($C$1,$B$5,$B16,$E$5,$D$5,$F$5,E$9)</f>
        <v>Net Profit</v>
      </c>
      <c r="F16" s="55">
        <f>_xll.DBRW($C$1,$B$5,$B16,$E$5,$D$5,$F$5,F$9)</f>
        <v>13737.272783940083</v>
      </c>
      <c r="G16" s="56">
        <f>_xll.DBRW($C$1,$B$5,$B16,$E$5,$D$5,$F$5,G$9)</f>
        <v>6.0428391260105553E-2</v>
      </c>
      <c r="H16" s="57">
        <f>_xll.DBRW($C$1,$B$5,$B16,$E$5,$D$5,$F$5,H$9)</f>
        <v>0</v>
      </c>
      <c r="I16" s="57">
        <f t="shared" si="0"/>
        <v>13737.272783940083</v>
      </c>
    </row>
    <row r="17" spans="2:9" x14ac:dyDescent="0.2">
      <c r="B17" s="120" t="s">
        <v>19</v>
      </c>
      <c r="C17" s="53" t="str">
        <f>_xll.DBRW($C$1,$B$5,$B17,$E$5,$D$5,$F$5,C$9)</f>
        <v>British Columbia</v>
      </c>
      <c r="D17" s="54" t="str">
        <f>_xll.DBRW($C$1,$B$5,$B17,$E$5,$D$5,$F$5,D$9)</f>
        <v>6099 PAYROLL</v>
      </c>
      <c r="E17" s="54" t="str">
        <f>_xll.DBRW($C$1,$B$5,$B17,$E$5,$D$5,$F$5,E$9)</f>
        <v>Square Footage</v>
      </c>
      <c r="F17" s="55">
        <f>_xll.DBRW($C$1,$B$5,$B17,$E$5,$D$5,$F$5,F$9)</f>
        <v>2250.7906558176633</v>
      </c>
      <c r="G17" s="56">
        <f>_xll.DBRW($C$1,$B$5,$B17,$E$5,$D$5,$F$5,G$9)</f>
        <v>2.2222222222222223E-2</v>
      </c>
      <c r="H17" s="57">
        <f>_xll.DBRW($C$1,$B$5,$B17,$E$5,$D$5,$F$5,H$9)</f>
        <v>0</v>
      </c>
      <c r="I17" s="57">
        <f t="shared" si="0"/>
        <v>2250.7906558176633</v>
      </c>
    </row>
    <row r="18" spans="2:9" x14ac:dyDescent="0.2">
      <c r="B18" s="120" t="s">
        <v>20</v>
      </c>
      <c r="C18" s="53" t="str">
        <f>_xll.DBRW($C$1,$B$5,$B18,$E$5,$D$5,$F$5,C$9)</f>
        <v>Massachusetts</v>
      </c>
      <c r="D18" s="54" t="str">
        <f>_xll.DBRW($C$1,$B$5,$B18,$E$5,$D$5,$F$5,D$9)</f>
        <v>6100 Insurance</v>
      </c>
      <c r="E18" s="54" t="str">
        <f>_xll.DBRW($C$1,$B$5,$B18,$E$5,$D$5,$F$5,E$9)</f>
        <v>FTE</v>
      </c>
      <c r="F18" s="55">
        <f>_xll.DBRW($C$1,$B$5,$B18,$E$5,$D$5,$F$5,F$9)</f>
        <v>0</v>
      </c>
      <c r="G18" s="56">
        <f>_xll.DBRW($C$1,$B$5,$B18,$E$5,$D$5,$F$5,G$9)</f>
        <v>0</v>
      </c>
      <c r="H18" s="57">
        <f>_xll.DBRW($C$1,$B$5,$B18,$E$5,$D$5,$F$5,H$9)</f>
        <v>-8389</v>
      </c>
      <c r="I18" s="57">
        <f t="shared" si="0"/>
        <v>-8389</v>
      </c>
    </row>
    <row r="19" spans="2:9" x14ac:dyDescent="0.2">
      <c r="B19" s="120" t="s">
        <v>21</v>
      </c>
      <c r="C19" s="53" t="str">
        <f>_xll.DBRW($C$1,$B$5,$B19,$E$5,$D$5,$F$5,C$9)</f>
        <v>Florida</v>
      </c>
      <c r="D19" s="54" t="str">
        <f>_xll.DBRW($C$1,$B$5,$B19,$E$5,$D$5,$F$5,D$9)</f>
        <v>6310 Utilities</v>
      </c>
      <c r="E19" s="54" t="str">
        <f>_xll.DBRW($C$1,$B$5,$B19,$E$5,$D$5,$F$5,E$9)</f>
        <v>Square Footage</v>
      </c>
      <c r="F19" s="55">
        <f>_xll.DBRW($C$1,$B$5,$B19,$E$5,$D$5,$F$5,F$9)</f>
        <v>1799.9999999999995</v>
      </c>
      <c r="G19" s="56">
        <f>_xll.DBRW($C$1,$B$5,$B19,$E$5,$D$5,$F$5,G$9)</f>
        <v>1.9230769230769232E-2</v>
      </c>
      <c r="H19" s="57">
        <f>_xll.DBRW($C$1,$B$5,$B19,$E$5,$D$5,$F$5,H$9)</f>
        <v>0</v>
      </c>
      <c r="I19" s="57">
        <f t="shared" si="0"/>
        <v>1799.9999999999995</v>
      </c>
    </row>
    <row r="20" spans="2:9" x14ac:dyDescent="0.2">
      <c r="B20" s="123" t="s">
        <v>67</v>
      </c>
      <c r="C20" s="85"/>
      <c r="D20" s="86"/>
      <c r="E20" s="86"/>
      <c r="F20" s="118">
        <f>_xll.DBRW($C$1,$B$5,$B20,$E$5,$D$5,$F$5,F$9)</f>
        <v>292098.14110942167</v>
      </c>
      <c r="G20" s="119"/>
      <c r="H20" s="87">
        <f>_xll.DBRW($C$1,$B$5,$B20,$E$5,$D$5,$F$5,H$9)</f>
        <v>-41989.87999999999</v>
      </c>
      <c r="I20" s="87">
        <f>IF(ISERR(F20+H20),0,F20+H20)</f>
        <v>250108.26110942167</v>
      </c>
    </row>
  </sheetData>
  <mergeCells count="6">
    <mergeCell ref="G1:H1"/>
    <mergeCell ref="B4:C4"/>
    <mergeCell ref="B5:C5"/>
    <mergeCell ref="A1:B1"/>
    <mergeCell ref="C1:D1"/>
    <mergeCell ref="E1:F1"/>
  </mergeCells>
  <phoneticPr fontId="12" type="noConversion"/>
  <conditionalFormatting sqref="B10:I19">
    <cfRule type="expression" dxfId="6" priority="1">
      <formula>MOD(ROW(),2)=1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I28"/>
  <sheetViews>
    <sheetView showGridLines="0" topLeftCell="A2" workbookViewId="0">
      <selection activeCell="K25" sqref="K25"/>
    </sheetView>
  </sheetViews>
  <sheetFormatPr defaultRowHeight="14.25" x14ac:dyDescent="0.2"/>
  <cols>
    <col min="1" max="1" width="1.28515625" style="40" customWidth="1"/>
    <col min="2" max="2" width="23.42578125" style="40" customWidth="1"/>
    <col min="3" max="3" width="25.5703125" style="40" customWidth="1"/>
    <col min="4" max="8" width="12.7109375" style="40" customWidth="1"/>
    <col min="9" max="9" width="10.5703125" style="40" bestFit="1" customWidth="1"/>
    <col min="10" max="16384" width="9.140625" style="40"/>
  </cols>
  <sheetData>
    <row r="1" spans="1:9" ht="15.75" hidden="1" x14ac:dyDescent="0.2">
      <c r="A1" s="139"/>
      <c r="B1" s="140" t="s">
        <v>61</v>
      </c>
      <c r="C1" s="42" t="str">
        <f>_xll.VIEW("region06:Income Statement",$D$5,$B$5,$G$5,$E$5,"!","!")</f>
        <v>region06:Income Statement</v>
      </c>
      <c r="D1" s="3"/>
      <c r="E1" s="139"/>
      <c r="F1" s="140"/>
      <c r="G1" s="139"/>
      <c r="H1" s="140"/>
    </row>
    <row r="2" spans="1:9" ht="37.5" customHeight="1" x14ac:dyDescent="0.2">
      <c r="A2" s="129"/>
      <c r="B2" s="22" t="s">
        <v>219</v>
      </c>
      <c r="C2" s="22" t="s">
        <v>134</v>
      </c>
      <c r="D2" s="22"/>
      <c r="E2" s="22"/>
      <c r="F2" s="22"/>
      <c r="G2" s="22"/>
      <c r="H2" s="22"/>
    </row>
    <row r="3" spans="1:9" ht="7.5" customHeight="1" x14ac:dyDescent="0.2"/>
    <row r="4" spans="1:9" s="58" customFormat="1" x14ac:dyDescent="0.25">
      <c r="B4" s="19" t="s">
        <v>23</v>
      </c>
      <c r="C4" s="19"/>
      <c r="D4" s="19" t="s">
        <v>135</v>
      </c>
      <c r="E4" s="136" t="s">
        <v>54</v>
      </c>
      <c r="F4" s="137"/>
      <c r="G4" s="136" t="s">
        <v>0</v>
      </c>
      <c r="H4" s="137"/>
    </row>
    <row r="5" spans="1:9" s="58" customFormat="1" x14ac:dyDescent="0.25">
      <c r="B5" s="20" t="str">
        <f>_xll.SUBNM("region06:organization","Workflow","101","Caption_Default")</f>
        <v>Massachusetts</v>
      </c>
      <c r="C5" s="20"/>
      <c r="D5" s="20" t="str">
        <f>_xll.SUBNM("region06:Currency Calc","Default","Local")</f>
        <v>Local</v>
      </c>
      <c r="E5" s="138" t="str">
        <f>_xll.SUBNM("region06:Month","MY","Year")</f>
        <v>Year</v>
      </c>
      <c r="F5" s="138"/>
      <c r="G5" s="138" t="str">
        <f>_xll.SUBNM("region06:Year","Default","Y2","Caption_Default")</f>
        <v>2021</v>
      </c>
      <c r="H5" s="138"/>
    </row>
    <row r="6" spans="1:9" ht="6" customHeight="1" x14ac:dyDescent="0.2"/>
    <row r="7" spans="1:9" ht="21" customHeight="1" thickBot="1" x14ac:dyDescent="0.3">
      <c r="B7" s="21"/>
      <c r="C7" s="59"/>
      <c r="D7" s="21" t="s">
        <v>136</v>
      </c>
      <c r="E7" s="21" t="s">
        <v>57</v>
      </c>
      <c r="F7" s="21" t="str">
        <f>F8</f>
        <v>Version1</v>
      </c>
      <c r="G7" s="21" t="s">
        <v>137</v>
      </c>
      <c r="H7" s="21" t="s">
        <v>79</v>
      </c>
    </row>
    <row r="8" spans="1:9" ht="15" hidden="1" thickBot="1" x14ac:dyDescent="0.25">
      <c r="D8" s="60" t="s">
        <v>123</v>
      </c>
      <c r="E8" s="60" t="s">
        <v>57</v>
      </c>
      <c r="F8" s="60" t="str">
        <f>_xll.SUBNM("region06:Version","Current",_xll.DBR("region06:Calendar","Current Version","String"),"Caption_Default")</f>
        <v>Version1</v>
      </c>
      <c r="G8" s="60" t="s">
        <v>58</v>
      </c>
      <c r="H8" s="60" t="s">
        <v>59</v>
      </c>
    </row>
    <row r="9" spans="1:9" ht="15" thickTop="1" x14ac:dyDescent="0.2">
      <c r="B9" s="88" t="s">
        <v>43</v>
      </c>
      <c r="C9" s="88"/>
      <c r="D9" s="89"/>
      <c r="E9" s="89"/>
      <c r="F9" s="89"/>
      <c r="G9" s="89"/>
      <c r="H9" s="90"/>
    </row>
    <row r="10" spans="1:9" x14ac:dyDescent="0.2">
      <c r="B10" s="61" t="s">
        <v>138</v>
      </c>
      <c r="C10" s="67" t="s">
        <v>139</v>
      </c>
      <c r="D10" s="68">
        <f>_xll.DBRW($C$1,$D$5,$B$5,$G$5,$E$5,$C10,D$8)</f>
        <v>10495090.600703504</v>
      </c>
      <c r="E10" s="68">
        <f>_xll.DBRW($C$1,$D$5,$B$5,$G$5,$E$5,$C10,E$8)</f>
        <v>12817315.026957115</v>
      </c>
      <c r="F10" s="68">
        <f>_xll.DBRW($C$1,$D$5,$B$5,$G$5,$E$5,$C10,F$8)</f>
        <v>27654742.650997963</v>
      </c>
      <c r="G10" s="68">
        <f>_xll.DBRW($C$1,$D$5,$B$5,$G$5,$E$5,$C10,G$8)</f>
        <v>-20569720.876248427</v>
      </c>
      <c r="H10" s="69">
        <f>_xll.DBRW($C$1,$D$5,$B$5,$G$5,$E$5,$C10,H$8)</f>
        <v>-74.380445827457876</v>
      </c>
      <c r="I10" s="62"/>
    </row>
    <row r="11" spans="1:9" x14ac:dyDescent="0.2">
      <c r="B11" s="61" t="s">
        <v>140</v>
      </c>
      <c r="C11" s="67" t="s">
        <v>42</v>
      </c>
      <c r="D11" s="68">
        <f>_xll.DBRW($C$1,$D$5,$B$5,$G$5,$E$5,$C11,D$8)</f>
        <v>8661808.5130813643</v>
      </c>
      <c r="E11" s="68">
        <f>_xll.DBRW($C$1,$D$5,$B$5,$G$5,$E$5,$C11,E$8)</f>
        <v>8811382.6706150007</v>
      </c>
      <c r="F11" s="68">
        <f>_xll.DBRW($C$1,$D$5,$B$5,$G$5,$E$5,$C11,F$8)</f>
        <v>20932843.892588545</v>
      </c>
      <c r="G11" s="68">
        <f>_xll.DBRW($C$1,$D$5,$B$5,$G$5,$E$5,$C11,G$8)</f>
        <v>15012087.237210188</v>
      </c>
      <c r="H11" s="69">
        <f>_xll.DBRW($C$1,$D$5,$B$5,$G$5,$E$5,$C11,H$8)</f>
        <v>71.715469308617671</v>
      </c>
    </row>
    <row r="12" spans="1:9" x14ac:dyDescent="0.2">
      <c r="B12" s="66" t="s">
        <v>43</v>
      </c>
      <c r="C12" s="67" t="s">
        <v>43</v>
      </c>
      <c r="D12" s="68">
        <f>_xll.DBRW($C$1,$D$5,$B$5,$G$5,$E$5,$C12,D$8)</f>
        <v>1833282.0876221396</v>
      </c>
      <c r="E12" s="68">
        <f>_xll.DBRW($C$1,$D$5,$B$5,$G$5,$E$5,$C12,E$8)</f>
        <v>4005932.3563421145</v>
      </c>
      <c r="F12" s="68">
        <f>_xll.DBRW($C$1,$D$5,$B$5,$G$5,$E$5,$C12,F$8)</f>
        <v>6721898.7584094182</v>
      </c>
      <c r="G12" s="68">
        <f>_xll.DBRW($C$1,$D$5,$B$5,$G$5,$E$5,$C12,G$8)</f>
        <v>-5557633.6390382396</v>
      </c>
      <c r="H12" s="69">
        <f>_xll.DBRW($C$1,$D$5,$B$5,$G$5,$E$5,$C12,H$8)</f>
        <v>-82.679520159171886</v>
      </c>
    </row>
    <row r="13" spans="1:9" x14ac:dyDescent="0.2">
      <c r="B13" s="92" t="s">
        <v>141</v>
      </c>
      <c r="C13" s="92"/>
      <c r="D13" s="93"/>
      <c r="E13" s="93"/>
      <c r="F13" s="93"/>
      <c r="G13" s="93"/>
      <c r="H13" s="94"/>
    </row>
    <row r="14" spans="1:9" x14ac:dyDescent="0.2">
      <c r="B14" s="61" t="s">
        <v>98</v>
      </c>
      <c r="C14" s="67" t="s">
        <v>44</v>
      </c>
      <c r="D14" s="68">
        <f>_xll.DBRW($C$1,$D$5,$B$5,$G$5,$E$5,$C14,D$8)</f>
        <v>710411.91797512444</v>
      </c>
      <c r="E14" s="68">
        <f>_xll.DBRW($C$1,$D$5,$B$5,$G$5,$E$5,$C14,E$8)</f>
        <v>710411.91797512444</v>
      </c>
      <c r="F14" s="68">
        <f>_xll.DBRW($C$1,$D$5,$B$5,$G$5,$E$5,$C14,F$8)</f>
        <v>688412.59357644315</v>
      </c>
      <c r="G14" s="68">
        <f>_xll.DBRW($C$1,$D$5,$B$5,$G$5,$E$5,$C14,G$8)</f>
        <v>7694.3622115713079</v>
      </c>
      <c r="H14" s="69">
        <f>_xll.DBRW($C$1,$D$5,$B$5,$G$5,$E$5,$C14,H$8)</f>
        <v>1.1176963180754049</v>
      </c>
    </row>
    <row r="15" spans="1:9" x14ac:dyDescent="0.2">
      <c r="B15" s="61" t="s">
        <v>75</v>
      </c>
      <c r="C15" s="67" t="s">
        <v>45</v>
      </c>
      <c r="D15" s="68">
        <f>_xll.DBRW($C$1,$D$5,$B$5,$G$5,$E$5,$C15,D$8)</f>
        <v>67120.542625874223</v>
      </c>
      <c r="E15" s="68">
        <f>_xll.DBRW($C$1,$D$5,$B$5,$G$5,$E$5,$C15,E$8)</f>
        <v>67120.542625874223</v>
      </c>
      <c r="F15" s="68">
        <f>_xll.DBRW($C$1,$D$5,$B$5,$G$5,$E$5,$C15,F$8)</f>
        <v>79201.760000000009</v>
      </c>
      <c r="G15" s="68">
        <f>_xll.DBRW($C$1,$D$5,$B$5,$G$5,$E$5,$C15,G$8)</f>
        <v>13297.759999999995</v>
      </c>
      <c r="H15" s="69">
        <f>_xll.DBRW($C$1,$D$5,$B$5,$G$5,$E$5,$C15,H$8)</f>
        <v>16.789727905036447</v>
      </c>
    </row>
    <row r="16" spans="1:9" x14ac:dyDescent="0.2">
      <c r="B16" s="61" t="s">
        <v>100</v>
      </c>
      <c r="C16" s="67" t="s">
        <v>46</v>
      </c>
      <c r="D16" s="68">
        <f>_xll.DBRW($C$1,$D$5,$B$5,$G$5,$E$5,$C16,D$8)</f>
        <v>45415.518284643782</v>
      </c>
      <c r="E16" s="68">
        <f>_xll.DBRW($C$1,$D$5,$B$5,$G$5,$E$5,$C16,E$8)</f>
        <v>45415.518284643782</v>
      </c>
      <c r="F16" s="68">
        <f>_xll.DBRW($C$1,$D$5,$B$5,$G$5,$E$5,$C16,F$8)</f>
        <v>45228</v>
      </c>
      <c r="G16" s="68">
        <f>_xll.DBRW($C$1,$D$5,$B$5,$G$5,$E$5,$C16,G$8)</f>
        <v>2280</v>
      </c>
      <c r="H16" s="69">
        <f>_xll.DBRW($C$1,$D$5,$B$5,$G$5,$E$5,$C16,H$8)</f>
        <v>5.0411249668347047</v>
      </c>
    </row>
    <row r="17" spans="2:8" x14ac:dyDescent="0.2">
      <c r="B17" s="61" t="s">
        <v>101</v>
      </c>
      <c r="C17" s="67" t="s">
        <v>47</v>
      </c>
      <c r="D17" s="68">
        <f>_xll.DBRW($C$1,$D$5,$B$5,$G$5,$E$5,$C17,D$8)</f>
        <v>536653.70116066153</v>
      </c>
      <c r="E17" s="68">
        <f>_xll.DBRW($C$1,$D$5,$B$5,$G$5,$E$5,$C17,E$8)</f>
        <v>536653.70116066153</v>
      </c>
      <c r="F17" s="68">
        <f>_xll.DBRW($C$1,$D$5,$B$5,$G$5,$E$5,$C17,F$8)</f>
        <v>330000</v>
      </c>
      <c r="G17" s="68">
        <f>_xll.DBRW($C$1,$D$5,$B$5,$G$5,$E$5,$C17,G$8)</f>
        <v>-175796.99999999994</v>
      </c>
      <c r="H17" s="69">
        <f>_xll.DBRW($C$1,$D$5,$B$5,$G$5,$E$5,$C17,H$8)</f>
        <v>-53.271818181818162</v>
      </c>
    </row>
    <row r="18" spans="2:8" x14ac:dyDescent="0.2">
      <c r="B18" s="61" t="s">
        <v>102</v>
      </c>
      <c r="C18" s="67" t="s">
        <v>48</v>
      </c>
      <c r="D18" s="68">
        <f>_xll.DBRW($C$1,$D$5,$B$5,$G$5,$E$5,$C18,D$8)</f>
        <v>99851.303968334934</v>
      </c>
      <c r="E18" s="68">
        <f>_xll.DBRW($C$1,$D$5,$B$5,$G$5,$E$5,$C18,E$8)</f>
        <v>99851.303968334934</v>
      </c>
      <c r="F18" s="68">
        <f>_xll.DBRW($C$1,$D$5,$B$5,$G$5,$E$5,$C18,F$8)</f>
        <v>681310.80000000016</v>
      </c>
      <c r="G18" s="68">
        <f>_xll.DBRW($C$1,$D$5,$B$5,$G$5,$E$5,$C18,G$8)</f>
        <v>581086.80000000016</v>
      </c>
      <c r="H18" s="69">
        <f>_xll.DBRW($C$1,$D$5,$B$5,$G$5,$E$5,$C18,H$8)</f>
        <v>85.289533058921137</v>
      </c>
    </row>
    <row r="19" spans="2:8" x14ac:dyDescent="0.2">
      <c r="B19" s="61" t="s">
        <v>103</v>
      </c>
      <c r="C19" s="67" t="s">
        <v>49</v>
      </c>
      <c r="D19" s="68">
        <f>_xll.DBRW($C$1,$D$5,$B$5,$G$5,$E$5,$C19,D$8)</f>
        <v>134270.06256135003</v>
      </c>
      <c r="E19" s="68">
        <f>_xll.DBRW($C$1,$D$5,$B$5,$G$5,$E$5,$C19,E$8)</f>
        <v>134270.06256135003</v>
      </c>
      <c r="F19" s="68">
        <f>_xll.DBRW($C$1,$D$5,$B$5,$G$5,$E$5,$C19,F$8)</f>
        <v>170583.33333333334</v>
      </c>
      <c r="G19" s="68">
        <f>_xll.DBRW($C$1,$D$5,$B$5,$G$5,$E$5,$C19,G$8)</f>
        <v>26583.333333333343</v>
      </c>
      <c r="H19" s="69">
        <f>_xll.DBRW($C$1,$D$5,$B$5,$G$5,$E$5,$C19,H$8)</f>
        <v>15.583781143136303</v>
      </c>
    </row>
    <row r="20" spans="2:8" x14ac:dyDescent="0.2">
      <c r="B20" s="66" t="s">
        <v>50</v>
      </c>
      <c r="C20" s="67" t="s">
        <v>50</v>
      </c>
      <c r="D20" s="68">
        <f>_xll.DBRW($C$1,$D$5,$B$5,$G$5,$E$5,$C20,D$8)</f>
        <v>1593723.0465759886</v>
      </c>
      <c r="E20" s="68">
        <f>_xll.DBRW($C$1,$D$5,$B$5,$G$5,$E$5,$C20,E$8)</f>
        <v>1593723.0465759886</v>
      </c>
      <c r="F20" s="68">
        <f>_xll.DBRW($C$1,$D$5,$B$5,$G$5,$E$5,$C20,F$8)</f>
        <v>1994736.4869097767</v>
      </c>
      <c r="G20" s="68">
        <f>_xll.DBRW($C$1,$D$5,$B$5,$G$5,$E$5,$C20,G$8)</f>
        <v>455145.25554490462</v>
      </c>
      <c r="H20" s="69">
        <f>_xll.DBRW($C$1,$D$5,$B$5,$G$5,$E$5,$C20,H$8)</f>
        <v>22.817312388465432</v>
      </c>
    </row>
    <row r="21" spans="2:8" x14ac:dyDescent="0.2">
      <c r="B21" s="54"/>
      <c r="C21" s="54"/>
      <c r="D21" s="57"/>
      <c r="E21" s="57"/>
      <c r="F21" s="57"/>
      <c r="G21" s="57"/>
      <c r="H21" s="70"/>
    </row>
    <row r="22" spans="2:8" x14ac:dyDescent="0.2">
      <c r="B22" s="95" t="s">
        <v>51</v>
      </c>
      <c r="C22" s="96" t="s">
        <v>51</v>
      </c>
      <c r="D22" s="97">
        <f>_xll.DBRW($C$1,$D$5,$B$5,$G$5,$E$5,$C22,D$8)</f>
        <v>239559.04104615038</v>
      </c>
      <c r="E22" s="97">
        <f>_xll.DBRW($C$1,$D$5,$B$5,$G$5,$E$5,$C22,E$8)</f>
        <v>2412209.3097661263</v>
      </c>
      <c r="F22" s="97">
        <f>_xll.DBRW($C$1,$D$5,$B$5,$G$5,$E$5,$C22,F$8)</f>
        <v>4727162.2714996431</v>
      </c>
      <c r="G22" s="97">
        <f>_xll.DBRW($C$1,$D$5,$B$5,$G$5,$E$5,$C22,G$8)</f>
        <v>-5102488.3834933368</v>
      </c>
      <c r="H22" s="98">
        <f>_xll.DBRW($C$1,$D$5,$B$5,$G$5,$E$5,$C22,H$8)</f>
        <v>-107.93977634862586</v>
      </c>
    </row>
    <row r="23" spans="2:8" x14ac:dyDescent="0.2">
      <c r="B23" s="63"/>
      <c r="C23" s="71"/>
      <c r="D23" s="72"/>
      <c r="E23" s="72"/>
      <c r="F23" s="72"/>
      <c r="G23" s="72"/>
      <c r="H23" s="36"/>
    </row>
    <row r="24" spans="2:8" x14ac:dyDescent="0.2">
      <c r="B24" s="95" t="s">
        <v>142</v>
      </c>
      <c r="C24" s="96" t="s">
        <v>52</v>
      </c>
      <c r="D24" s="97">
        <f>_xll.DBRW($C$1,$D$5,$B$5,$G$5,$E$5,$C24,D$8)</f>
        <v>11965.31335730452</v>
      </c>
      <c r="E24" s="97">
        <f>_xll.DBRW($C$1,$D$5,$B$5,$G$5,$E$5,$C24,E$8)</f>
        <v>11965.313357304527</v>
      </c>
      <c r="F24" s="97">
        <f>_xll.DBRW($C$1,$D$5,$B$5,$G$5,$E$5,$C24,F$8)</f>
        <v>250108.26110942199</v>
      </c>
      <c r="G24" s="97">
        <f>_xll.DBRW($C$1,$D$5,$B$5,$G$5,$E$5,$C24,G$8)</f>
        <v>218379.3756809418</v>
      </c>
      <c r="H24" s="98">
        <f>_xll.DBRW($C$1,$D$5,$B$5,$G$5,$E$5,$C24,H$8)</f>
        <v>87.313939456562423</v>
      </c>
    </row>
    <row r="25" spans="2:8" x14ac:dyDescent="0.2">
      <c r="B25" s="54"/>
      <c r="C25" s="54"/>
      <c r="D25" s="57"/>
      <c r="E25" s="57"/>
      <c r="F25" s="57"/>
      <c r="G25" s="57"/>
      <c r="H25" s="70"/>
    </row>
    <row r="26" spans="2:8" x14ac:dyDescent="0.2">
      <c r="B26" s="99" t="s">
        <v>53</v>
      </c>
      <c r="C26" s="100" t="s">
        <v>53</v>
      </c>
      <c r="D26" s="101">
        <f>_xll.DBRW($C$1,$D$5,$B$5,$G$5,$E$5,$C26,D$8)</f>
        <v>227593.72768884583</v>
      </c>
      <c r="E26" s="101">
        <f>_xll.DBRW($C$1,$D$5,$B$5,$G$5,$E$5,$C26,E$8)</f>
        <v>2400243.996408822</v>
      </c>
      <c r="F26" s="101">
        <f>_xll.DBRW($C$1,$D$5,$B$5,$G$5,$E$5,$C26,F$8)</f>
        <v>4477054.0103902211</v>
      </c>
      <c r="G26" s="101">
        <f>_xll.DBRW($C$1,$D$5,$B$5,$G$5,$E$5,$C26,G$8)</f>
        <v>-4884109.0078123948</v>
      </c>
      <c r="H26" s="102">
        <f>_xll.DBRW($C$1,$D$5,$B$5,$G$5,$E$5,$C26,H$8)</f>
        <v>-109.09202784861411</v>
      </c>
    </row>
    <row r="27" spans="2:8" ht="12.75" customHeight="1" x14ac:dyDescent="0.2">
      <c r="H27" s="64"/>
    </row>
    <row r="28" spans="2:8" x14ac:dyDescent="0.2">
      <c r="H28" s="65"/>
    </row>
  </sheetData>
  <mergeCells count="7">
    <mergeCell ref="E4:F4"/>
    <mergeCell ref="G4:H4"/>
    <mergeCell ref="E5:F5"/>
    <mergeCell ref="G5:H5"/>
    <mergeCell ref="A1:B1"/>
    <mergeCell ref="E1:F1"/>
    <mergeCell ref="G1:H1"/>
  </mergeCells>
  <phoneticPr fontId="12" type="noConversion"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R103"/>
  <sheetViews>
    <sheetView showGridLines="0" topLeftCell="B82" zoomScaleNormal="100" workbookViewId="0"/>
  </sheetViews>
  <sheetFormatPr defaultRowHeight="14.25" x14ac:dyDescent="0.2"/>
  <cols>
    <col min="1" max="1" width="2.7109375" style="40" hidden="1" customWidth="1"/>
    <col min="2" max="2" width="1.28515625" style="40" customWidth="1"/>
    <col min="3" max="3" width="28.85546875" style="40" customWidth="1"/>
    <col min="4" max="4" width="19.85546875" style="40" customWidth="1"/>
    <col min="5" max="16" width="10.85546875" style="40" customWidth="1"/>
    <col min="17" max="17" width="12.140625" style="40" customWidth="1"/>
    <col min="18" max="16384" width="9.140625" style="40"/>
  </cols>
  <sheetData>
    <row r="1" spans="1:18" hidden="1" x14ac:dyDescent="0.2">
      <c r="A1" s="40" t="s">
        <v>11</v>
      </c>
    </row>
    <row r="2" spans="1:18" s="54" customFormat="1" ht="11.25" hidden="1" x14ac:dyDescent="0.2">
      <c r="A2" s="80" t="s">
        <v>232</v>
      </c>
      <c r="B2" s="92"/>
      <c r="C2" s="103"/>
      <c r="D2" s="104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1"/>
    </row>
    <row r="3" spans="1:18" s="54" customFormat="1" ht="11.25" hidden="1" x14ac:dyDescent="0.2">
      <c r="A3" s="80" t="s">
        <v>233</v>
      </c>
      <c r="B3" s="92"/>
      <c r="C3" s="103"/>
      <c r="D3" s="104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1"/>
    </row>
    <row r="4" spans="1:18" s="54" customFormat="1" ht="11.25" hidden="1" x14ac:dyDescent="0.2">
      <c r="A4" s="80" t="s">
        <v>234</v>
      </c>
      <c r="C4" s="30"/>
      <c r="D4" s="47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</row>
    <row r="5" spans="1:18" s="54" customFormat="1" ht="11.25" hidden="1" x14ac:dyDescent="0.2">
      <c r="A5" s="80" t="s">
        <v>235</v>
      </c>
      <c r="C5" s="30"/>
      <c r="D5" s="47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</row>
    <row r="6" spans="1:18" s="54" customFormat="1" ht="11.25" hidden="1" x14ac:dyDescent="0.2">
      <c r="A6" s="54" t="s">
        <v>9</v>
      </c>
      <c r="C6" s="30"/>
      <c r="D6" s="47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</row>
    <row r="7" spans="1:18" s="54" customFormat="1" ht="11.25" hidden="1" x14ac:dyDescent="0.2">
      <c r="A7" s="54" t="s">
        <v>10</v>
      </c>
      <c r="C7" s="30"/>
      <c r="D7" s="47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</row>
    <row r="8" spans="1:18" s="54" customFormat="1" ht="11.25" hidden="1" x14ac:dyDescent="0.2">
      <c r="A8" s="54" t="s">
        <v>143</v>
      </c>
      <c r="B8" s="92"/>
      <c r="C8" s="103"/>
      <c r="D8" s="104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1"/>
    </row>
    <row r="9" spans="1:18" s="54" customFormat="1" ht="11.25" hidden="1" x14ac:dyDescent="0.2">
      <c r="A9" s="54" t="s">
        <v>144</v>
      </c>
      <c r="B9" s="92"/>
      <c r="C9" s="103"/>
      <c r="D9" s="104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1"/>
    </row>
    <row r="10" spans="1:18" s="54" customFormat="1" ht="11.25" hidden="1" x14ac:dyDescent="0.2">
      <c r="A10" s="54" t="s">
        <v>145</v>
      </c>
      <c r="C10" s="30"/>
      <c r="D10" s="47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</row>
    <row r="11" spans="1:18" s="54" customFormat="1" ht="11.25" hidden="1" x14ac:dyDescent="0.2">
      <c r="A11" s="54" t="s">
        <v>146</v>
      </c>
      <c r="C11" s="30"/>
      <c r="D11" s="47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</row>
    <row r="12" spans="1:18" s="54" customFormat="1" ht="11.25" hidden="1" x14ac:dyDescent="0.2">
      <c r="A12" s="54" t="s">
        <v>147</v>
      </c>
      <c r="C12" s="30"/>
      <c r="D12" s="47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</row>
    <row r="13" spans="1:18" s="54" customFormat="1" ht="11.25" hidden="1" x14ac:dyDescent="0.2">
      <c r="A13" s="54" t="s">
        <v>148</v>
      </c>
      <c r="C13" s="30"/>
      <c r="D13" s="47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</row>
    <row r="14" spans="1:18" s="54" customFormat="1" ht="11.25" hidden="1" x14ac:dyDescent="0.2">
      <c r="A14" s="54" t="s">
        <v>149</v>
      </c>
      <c r="B14" s="92"/>
      <c r="C14" s="103"/>
      <c r="D14" s="104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1"/>
    </row>
    <row r="15" spans="1:18" s="54" customFormat="1" ht="11.25" hidden="1" x14ac:dyDescent="0.2">
      <c r="A15" s="54" t="s">
        <v>150</v>
      </c>
      <c r="B15" s="92"/>
      <c r="C15" s="103"/>
      <c r="D15" s="104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1"/>
    </row>
    <row r="16" spans="1:18" s="54" customFormat="1" ht="11.25" hidden="1" x14ac:dyDescent="0.2">
      <c r="A16" s="54" t="s">
        <v>151</v>
      </c>
      <c r="C16" s="30"/>
      <c r="D16" s="47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</row>
    <row r="17" spans="1:18" s="54" customFormat="1" ht="11.25" hidden="1" x14ac:dyDescent="0.2">
      <c r="A17" s="54" t="s">
        <v>152</v>
      </c>
      <c r="C17" s="30"/>
      <c r="D17" s="47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</row>
    <row r="18" spans="1:18" s="54" customFormat="1" ht="11.25" hidden="1" x14ac:dyDescent="0.2">
      <c r="A18" s="54" t="s">
        <v>153</v>
      </c>
      <c r="C18" s="30"/>
      <c r="D18" s="47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</row>
    <row r="19" spans="1:18" s="54" customFormat="1" ht="11.25" hidden="1" x14ac:dyDescent="0.2">
      <c r="A19" s="54" t="s">
        <v>154</v>
      </c>
      <c r="C19" s="30"/>
      <c r="D19" s="47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</row>
    <row r="20" spans="1:18" s="54" customFormat="1" ht="11.25" hidden="1" x14ac:dyDescent="0.2">
      <c r="A20" s="54" t="s">
        <v>155</v>
      </c>
      <c r="B20" s="92"/>
      <c r="C20" s="103"/>
      <c r="D20" s="104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1"/>
    </row>
    <row r="21" spans="1:18" s="54" customFormat="1" ht="11.25" hidden="1" x14ac:dyDescent="0.2">
      <c r="A21" s="54" t="s">
        <v>156</v>
      </c>
      <c r="B21" s="92"/>
      <c r="C21" s="103"/>
      <c r="D21" s="104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1"/>
    </row>
    <row r="22" spans="1:18" s="54" customFormat="1" ht="11.25" hidden="1" x14ac:dyDescent="0.2">
      <c r="A22" s="54" t="s">
        <v>157</v>
      </c>
      <c r="C22" s="30"/>
      <c r="D22" s="47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</row>
    <row r="23" spans="1:18" s="54" customFormat="1" ht="11.25" hidden="1" x14ac:dyDescent="0.2">
      <c r="A23" s="54" t="s">
        <v>158</v>
      </c>
      <c r="C23" s="30"/>
      <c r="D23" s="47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</row>
    <row r="24" spans="1:18" s="54" customFormat="1" ht="11.25" hidden="1" x14ac:dyDescent="0.2">
      <c r="A24" s="54" t="s">
        <v>159</v>
      </c>
      <c r="C24" s="30"/>
      <c r="D24" s="47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</row>
    <row r="25" spans="1:18" s="54" customFormat="1" ht="11.25" hidden="1" x14ac:dyDescent="0.2">
      <c r="A25" s="54" t="s">
        <v>160</v>
      </c>
      <c r="C25" s="30"/>
      <c r="D25" s="47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</row>
    <row r="26" spans="1:18" s="54" customFormat="1" ht="11.25" hidden="1" x14ac:dyDescent="0.2">
      <c r="A26" s="54" t="s">
        <v>161</v>
      </c>
      <c r="B26" s="92"/>
      <c r="C26" s="103"/>
      <c r="D26" s="104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1"/>
    </row>
    <row r="27" spans="1:18" s="54" customFormat="1" ht="11.25" hidden="1" x14ac:dyDescent="0.2">
      <c r="A27" s="54" t="s">
        <v>162</v>
      </c>
      <c r="B27" s="92"/>
      <c r="C27" s="103"/>
      <c r="D27" s="104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1"/>
    </row>
    <row r="28" spans="1:18" s="54" customFormat="1" ht="11.25" hidden="1" x14ac:dyDescent="0.2">
      <c r="A28" s="54" t="s">
        <v>163</v>
      </c>
      <c r="C28" s="30"/>
      <c r="D28" s="47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</row>
    <row r="29" spans="1:18" s="54" customFormat="1" ht="11.25" hidden="1" x14ac:dyDescent="0.2">
      <c r="A29" s="54" t="s">
        <v>164</v>
      </c>
      <c r="C29" s="30"/>
      <c r="D29" s="47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</row>
    <row r="30" spans="1:18" s="54" customFormat="1" ht="11.25" hidden="1" x14ac:dyDescent="0.2">
      <c r="A30" s="54" t="s">
        <v>165</v>
      </c>
      <c r="C30" s="30"/>
      <c r="D30" s="47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</row>
    <row r="31" spans="1:18" s="54" customFormat="1" ht="11.25" hidden="1" x14ac:dyDescent="0.2">
      <c r="A31" s="54" t="s">
        <v>166</v>
      </c>
      <c r="C31" s="30"/>
      <c r="D31" s="47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</row>
    <row r="32" spans="1:18" s="54" customFormat="1" ht="11.25" hidden="1" x14ac:dyDescent="0.2">
      <c r="A32" s="54" t="s">
        <v>167</v>
      </c>
      <c r="B32" s="92"/>
      <c r="C32" s="103"/>
      <c r="D32" s="104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1"/>
    </row>
    <row r="33" spans="1:18" s="54" customFormat="1" ht="11.25" hidden="1" x14ac:dyDescent="0.2">
      <c r="A33" s="54" t="s">
        <v>168</v>
      </c>
      <c r="B33" s="92"/>
      <c r="C33" s="103"/>
      <c r="D33" s="104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1"/>
    </row>
    <row r="34" spans="1:18" s="54" customFormat="1" ht="11.25" hidden="1" x14ac:dyDescent="0.2">
      <c r="A34" s="54" t="s">
        <v>169</v>
      </c>
      <c r="C34" s="30"/>
      <c r="D34" s="47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</row>
    <row r="35" spans="1:18" s="54" customFormat="1" ht="11.25" hidden="1" x14ac:dyDescent="0.2">
      <c r="A35" s="54" t="s">
        <v>170</v>
      </c>
      <c r="C35" s="30"/>
      <c r="D35" s="47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</row>
    <row r="36" spans="1:18" s="54" customFormat="1" ht="11.25" hidden="1" x14ac:dyDescent="0.2">
      <c r="A36" s="54" t="s">
        <v>171</v>
      </c>
      <c r="C36" s="30"/>
      <c r="D36" s="47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</row>
    <row r="37" spans="1:18" s="54" customFormat="1" ht="11.25" hidden="1" x14ac:dyDescent="0.2">
      <c r="A37" s="54" t="s">
        <v>172</v>
      </c>
      <c r="C37" s="30"/>
      <c r="D37" s="47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</row>
    <row r="38" spans="1:18" s="54" customFormat="1" ht="11.25" hidden="1" x14ac:dyDescent="0.2">
      <c r="A38" s="54" t="s">
        <v>173</v>
      </c>
      <c r="B38" s="92"/>
      <c r="C38" s="103"/>
      <c r="D38" s="104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1"/>
    </row>
    <row r="39" spans="1:18" s="54" customFormat="1" ht="11.25" hidden="1" x14ac:dyDescent="0.2">
      <c r="A39" s="54" t="s">
        <v>174</v>
      </c>
      <c r="B39" s="92"/>
      <c r="C39" s="103"/>
      <c r="D39" s="104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1"/>
    </row>
    <row r="40" spans="1:18" s="54" customFormat="1" ht="11.25" hidden="1" x14ac:dyDescent="0.2">
      <c r="A40" s="54" t="s">
        <v>175</v>
      </c>
      <c r="C40" s="30"/>
      <c r="D40" s="47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</row>
    <row r="41" spans="1:18" s="54" customFormat="1" ht="11.25" hidden="1" x14ac:dyDescent="0.2">
      <c r="A41" s="54" t="s">
        <v>176</v>
      </c>
      <c r="C41" s="30"/>
      <c r="D41" s="47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</row>
    <row r="42" spans="1:18" s="54" customFormat="1" ht="11.25" hidden="1" x14ac:dyDescent="0.2">
      <c r="A42" s="54" t="s">
        <v>177</v>
      </c>
      <c r="C42" s="30"/>
      <c r="D42" s="47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</row>
    <row r="43" spans="1:18" s="54" customFormat="1" ht="11.25" hidden="1" x14ac:dyDescent="0.2">
      <c r="A43" s="54" t="s">
        <v>178</v>
      </c>
      <c r="C43" s="30"/>
      <c r="D43" s="47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</row>
    <row r="44" spans="1:18" s="54" customFormat="1" ht="11.25" hidden="1" x14ac:dyDescent="0.2">
      <c r="A44" s="54" t="s">
        <v>179</v>
      </c>
      <c r="B44" s="92"/>
      <c r="C44" s="103"/>
      <c r="D44" s="104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1"/>
    </row>
    <row r="45" spans="1:18" s="54" customFormat="1" ht="11.25" hidden="1" x14ac:dyDescent="0.2">
      <c r="A45" s="54" t="s">
        <v>180</v>
      </c>
      <c r="B45" s="92"/>
      <c r="C45" s="103"/>
      <c r="D45" s="104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1"/>
    </row>
    <row r="46" spans="1:18" s="54" customFormat="1" ht="11.25" hidden="1" x14ac:dyDescent="0.2">
      <c r="A46" s="54" t="s">
        <v>181</v>
      </c>
      <c r="C46" s="30"/>
      <c r="D46" s="47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</row>
    <row r="47" spans="1:18" s="54" customFormat="1" ht="11.25" hidden="1" x14ac:dyDescent="0.2">
      <c r="A47" s="54" t="s">
        <v>182</v>
      </c>
      <c r="C47" s="30"/>
      <c r="D47" s="47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</row>
    <row r="48" spans="1:18" s="54" customFormat="1" ht="11.25" hidden="1" x14ac:dyDescent="0.2">
      <c r="A48" s="54" t="s">
        <v>183</v>
      </c>
      <c r="C48" s="30"/>
      <c r="D48" s="47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</row>
    <row r="49" spans="1:18" s="54" customFormat="1" ht="11.25" hidden="1" x14ac:dyDescent="0.2">
      <c r="A49" s="54" t="s">
        <v>184</v>
      </c>
      <c r="C49" s="30"/>
      <c r="D49" s="47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</row>
    <row r="50" spans="1:18" s="54" customFormat="1" ht="11.25" hidden="1" x14ac:dyDescent="0.2">
      <c r="A50" s="54" t="s">
        <v>185</v>
      </c>
      <c r="B50" s="92"/>
      <c r="C50" s="103"/>
      <c r="D50" s="104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1"/>
    </row>
    <row r="51" spans="1:18" s="54" customFormat="1" ht="11.25" hidden="1" x14ac:dyDescent="0.2">
      <c r="A51" s="54" t="s">
        <v>186</v>
      </c>
      <c r="B51" s="92"/>
      <c r="C51" s="103"/>
      <c r="D51" s="104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1"/>
    </row>
    <row r="52" spans="1:18" s="54" customFormat="1" ht="11.25" hidden="1" x14ac:dyDescent="0.2">
      <c r="A52" s="54" t="s">
        <v>187</v>
      </c>
      <c r="C52" s="30"/>
      <c r="D52" s="47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</row>
    <row r="53" spans="1:18" s="54" customFormat="1" ht="11.25" hidden="1" x14ac:dyDescent="0.2">
      <c r="A53" s="54" t="s">
        <v>188</v>
      </c>
      <c r="C53" s="30"/>
      <c r="D53" s="47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</row>
    <row r="54" spans="1:18" s="54" customFormat="1" ht="11.25" hidden="1" x14ac:dyDescent="0.2">
      <c r="A54" s="54" t="s">
        <v>189</v>
      </c>
      <c r="C54" s="30"/>
      <c r="D54" s="47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</row>
    <row r="55" spans="1:18" s="54" customFormat="1" ht="11.25" hidden="1" x14ac:dyDescent="0.2">
      <c r="A55" s="54" t="s">
        <v>190</v>
      </c>
      <c r="C55" s="30"/>
      <c r="D55" s="47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</row>
    <row r="56" spans="1:18" s="54" customFormat="1" ht="11.25" hidden="1" x14ac:dyDescent="0.2">
      <c r="A56" s="54" t="s">
        <v>191</v>
      </c>
      <c r="B56" s="92"/>
      <c r="C56" s="103"/>
      <c r="D56" s="104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1"/>
    </row>
    <row r="57" spans="1:18" s="54" customFormat="1" ht="11.25" hidden="1" x14ac:dyDescent="0.2">
      <c r="A57" s="54" t="s">
        <v>192</v>
      </c>
      <c r="B57" s="92"/>
      <c r="C57" s="103"/>
      <c r="D57" s="104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1"/>
    </row>
    <row r="58" spans="1:18" s="54" customFormat="1" ht="11.25" hidden="1" x14ac:dyDescent="0.2">
      <c r="A58" s="54" t="s">
        <v>193</v>
      </c>
      <c r="C58" s="30"/>
      <c r="D58" s="47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</row>
    <row r="59" spans="1:18" s="54" customFormat="1" ht="11.25" hidden="1" x14ac:dyDescent="0.2">
      <c r="A59" s="54" t="s">
        <v>194</v>
      </c>
      <c r="C59" s="30"/>
      <c r="D59" s="47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</row>
    <row r="60" spans="1:18" s="54" customFormat="1" ht="11.25" hidden="1" x14ac:dyDescent="0.2">
      <c r="A60" s="54" t="s">
        <v>195</v>
      </c>
      <c r="C60" s="30"/>
      <c r="D60" s="47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</row>
    <row r="61" spans="1:18" s="54" customFormat="1" ht="11.25" hidden="1" x14ac:dyDescent="0.2">
      <c r="A61" s="54" t="s">
        <v>196</v>
      </c>
      <c r="C61" s="30"/>
      <c r="D61" s="47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</row>
    <row r="62" spans="1:18" s="54" customFormat="1" ht="11.25" hidden="1" x14ac:dyDescent="0.2">
      <c r="A62" s="54" t="s">
        <v>197</v>
      </c>
      <c r="B62" s="92"/>
      <c r="C62" s="103"/>
      <c r="D62" s="104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1"/>
    </row>
    <row r="63" spans="1:18" s="54" customFormat="1" ht="11.25" hidden="1" x14ac:dyDescent="0.2">
      <c r="A63" s="54" t="s">
        <v>198</v>
      </c>
      <c r="B63" s="92"/>
      <c r="C63" s="103"/>
      <c r="D63" s="104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1"/>
    </row>
    <row r="64" spans="1:18" s="54" customFormat="1" ht="11.25" hidden="1" x14ac:dyDescent="0.2">
      <c r="A64" s="54" t="s">
        <v>199</v>
      </c>
      <c r="C64" s="30"/>
      <c r="D64" s="47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</row>
    <row r="65" spans="1:18" s="54" customFormat="1" ht="11.25" hidden="1" x14ac:dyDescent="0.2">
      <c r="A65" s="54" t="s">
        <v>200</v>
      </c>
      <c r="C65" s="30"/>
      <c r="D65" s="47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</row>
    <row r="66" spans="1:18" s="54" customFormat="1" ht="11.25" hidden="1" x14ac:dyDescent="0.2">
      <c r="A66" s="54" t="s">
        <v>201</v>
      </c>
      <c r="C66" s="30"/>
      <c r="D66" s="47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</row>
    <row r="67" spans="1:18" s="54" customFormat="1" ht="11.25" hidden="1" x14ac:dyDescent="0.2">
      <c r="A67" s="54" t="s">
        <v>202</v>
      </c>
      <c r="C67" s="30"/>
      <c r="D67" s="47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</row>
    <row r="68" spans="1:18" s="54" customFormat="1" ht="11.25" hidden="1" x14ac:dyDescent="0.2">
      <c r="A68" s="54" t="s">
        <v>203</v>
      </c>
      <c r="B68" s="92"/>
      <c r="C68" s="103"/>
      <c r="D68" s="104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1"/>
    </row>
    <row r="69" spans="1:18" s="54" customFormat="1" ht="11.25" hidden="1" x14ac:dyDescent="0.2">
      <c r="A69" s="54" t="s">
        <v>204</v>
      </c>
      <c r="B69" s="92"/>
      <c r="C69" s="103"/>
      <c r="D69" s="104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1"/>
    </row>
    <row r="70" spans="1:18" s="54" customFormat="1" ht="11.25" hidden="1" x14ac:dyDescent="0.2">
      <c r="A70" s="54" t="s">
        <v>205</v>
      </c>
      <c r="C70" s="30"/>
      <c r="D70" s="47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</row>
    <row r="71" spans="1:18" s="54" customFormat="1" ht="11.25" hidden="1" x14ac:dyDescent="0.2">
      <c r="A71" s="54" t="s">
        <v>206</v>
      </c>
      <c r="C71" s="30"/>
      <c r="D71" s="47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</row>
    <row r="72" spans="1:18" s="54" customFormat="1" ht="11.25" hidden="1" x14ac:dyDescent="0.2">
      <c r="A72" s="54" t="s">
        <v>207</v>
      </c>
      <c r="C72" s="30"/>
      <c r="D72" s="47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</row>
    <row r="73" spans="1:18" s="54" customFormat="1" ht="11.25" hidden="1" x14ac:dyDescent="0.2">
      <c r="A73" s="54" t="s">
        <v>208</v>
      </c>
      <c r="C73" s="30"/>
      <c r="D73" s="47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</row>
    <row r="74" spans="1:18" s="54" customFormat="1" ht="11.25" hidden="1" x14ac:dyDescent="0.2">
      <c r="A74" s="54" t="s">
        <v>209</v>
      </c>
      <c r="B74" s="92"/>
      <c r="C74" s="103"/>
      <c r="D74" s="104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1"/>
    </row>
    <row r="75" spans="1:18" s="54" customFormat="1" ht="11.25" hidden="1" x14ac:dyDescent="0.2">
      <c r="A75" s="54" t="s">
        <v>210</v>
      </c>
      <c r="B75" s="92"/>
      <c r="C75" s="103"/>
      <c r="D75" s="104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1"/>
    </row>
    <row r="76" spans="1:18" s="54" customFormat="1" ht="11.25" hidden="1" x14ac:dyDescent="0.2">
      <c r="A76" s="54" t="s">
        <v>211</v>
      </c>
      <c r="C76" s="30"/>
      <c r="D76" s="47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</row>
    <row r="77" spans="1:18" s="54" customFormat="1" ht="11.25" hidden="1" x14ac:dyDescent="0.2">
      <c r="A77" s="54" t="s">
        <v>212</v>
      </c>
      <c r="C77" s="30"/>
      <c r="D77" s="47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</row>
    <row r="78" spans="1:18" s="54" customFormat="1" ht="11.25" hidden="1" x14ac:dyDescent="0.2">
      <c r="A78" s="54" t="s">
        <v>213</v>
      </c>
      <c r="C78" s="30"/>
      <c r="D78" s="47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</row>
    <row r="79" spans="1:18" s="54" customFormat="1" ht="11.25" hidden="1" x14ac:dyDescent="0.2">
      <c r="A79" s="54" t="s">
        <v>214</v>
      </c>
      <c r="C79" s="30"/>
      <c r="D79" s="47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</row>
    <row r="80" spans="1:18" hidden="1" x14ac:dyDescent="0.2">
      <c r="A80" s="40" t="s">
        <v>12</v>
      </c>
      <c r="H80" s="40">
        <f>VLOOKUP($I$85,Lookup!$D$2:$E$3,2,0)</f>
        <v>0</v>
      </c>
      <c r="I80" s="40" t="e">
        <f>IF(#REF!&lt;&gt;"","{TM1FILTERBYPATTERN( {TM1SUBSETALL( [Account] )}, """&amp;#REF!&amp;""")}","")</f>
        <v>#REF!</v>
      </c>
    </row>
    <row r="81" spans="1:17" ht="15.75" hidden="1" customHeight="1" x14ac:dyDescent="0.2">
      <c r="C81" s="40" t="str">
        <f>_xll.TM1RPTVIEW("region06:Income Statement:3", $H$80, _xll.TM1RPTTITLE("region06:Currency Calc",$D$85), _xll.TM1RPTTITLE("region06:organization",$C$85), _xll.TM1RPTTITLE("region06:Year",$E$85), _xll.TM1RPTTITLE("region06:Version",$F$85),TM1RPTFMTRNG,TM1RPTFMTIDCOL)</f>
        <v>region06:Income Statement:3</v>
      </c>
    </row>
    <row r="82" spans="1:17" ht="37.5" customHeight="1" thickBot="1" x14ac:dyDescent="0.25">
      <c r="A82" s="41"/>
      <c r="B82" s="129"/>
      <c r="C82" s="22" t="s">
        <v>69</v>
      </c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</row>
    <row r="83" spans="1:17" ht="7.5" customHeight="1" x14ac:dyDescent="0.2"/>
    <row r="84" spans="1:17" s="43" customFormat="1" ht="15" customHeight="1" x14ac:dyDescent="0.25">
      <c r="C84" s="19" t="s">
        <v>23</v>
      </c>
      <c r="D84" s="19" t="s">
        <v>135</v>
      </c>
      <c r="E84" s="19" t="s">
        <v>0</v>
      </c>
      <c r="F84" s="136" t="s">
        <v>1</v>
      </c>
      <c r="G84" s="137"/>
      <c r="H84" s="19" t="s">
        <v>218</v>
      </c>
      <c r="I84" s="19" t="s">
        <v>27</v>
      </c>
      <c r="J84" s="81"/>
    </row>
    <row r="85" spans="1:17" s="50" customFormat="1" ht="15" customHeight="1" x14ac:dyDescent="0.25">
      <c r="C85" s="20" t="str">
        <f>_xll.SUBNM("region06:organization","Workflow","Total Company","Caption_Default")</f>
        <v>Total Company</v>
      </c>
      <c r="D85" s="20" t="str">
        <f>_xll.SUBNM("region06:Currency Calc","Default","Local")</f>
        <v>Local</v>
      </c>
      <c r="E85" s="20" t="str">
        <f>_xll.SUBNM("region06:Year","Default","Y2","Caption_Default")</f>
        <v>2021</v>
      </c>
      <c r="F85" s="138" t="s">
        <v>73</v>
      </c>
      <c r="G85" s="138"/>
      <c r="H85" s="20" t="str">
        <f>_xll.DBRW("region06:calendar","Fcst Month","String")</f>
        <v>Jul</v>
      </c>
      <c r="I85" s="20" t="s">
        <v>55</v>
      </c>
      <c r="J85" s="75"/>
    </row>
    <row r="86" spans="1:17" s="42" customFormat="1" ht="7.5" customHeight="1" x14ac:dyDescent="0.25">
      <c r="C86" s="75"/>
      <c r="D86" s="75"/>
      <c r="E86" s="75"/>
      <c r="F86" s="75"/>
      <c r="G86" s="75"/>
      <c r="H86" s="75"/>
      <c r="I86" s="75"/>
      <c r="J86" s="75"/>
    </row>
    <row r="87" spans="1:17" s="42" customFormat="1" ht="15" customHeight="1" x14ac:dyDescent="0.25">
      <c r="C87" s="51"/>
      <c r="D87" s="23" t="s">
        <v>70</v>
      </c>
      <c r="E87" s="23" t="str">
        <f>E88</f>
        <v>A</v>
      </c>
      <c r="F87" s="23" t="str">
        <f t="shared" ref="F87:P87" si="0">F88</f>
        <v>A</v>
      </c>
      <c r="G87" s="23" t="str">
        <f t="shared" si="0"/>
        <v>A</v>
      </c>
      <c r="H87" s="23" t="str">
        <f t="shared" si="0"/>
        <v>A</v>
      </c>
      <c r="I87" s="25" t="str">
        <f t="shared" si="0"/>
        <v>A</v>
      </c>
      <c r="J87" s="23" t="str">
        <f t="shared" si="0"/>
        <v>A</v>
      </c>
      <c r="K87" s="23" t="str">
        <f t="shared" si="0"/>
        <v>F</v>
      </c>
      <c r="L87" s="23" t="str">
        <f t="shared" si="0"/>
        <v>F</v>
      </c>
      <c r="M87" s="23" t="str">
        <f t="shared" si="0"/>
        <v>F</v>
      </c>
      <c r="N87" s="23" t="str">
        <f t="shared" si="0"/>
        <v>F</v>
      </c>
      <c r="O87" s="23" t="str">
        <f t="shared" si="0"/>
        <v>F</v>
      </c>
      <c r="P87" s="23" t="str">
        <f t="shared" si="0"/>
        <v>F</v>
      </c>
      <c r="Q87" s="23"/>
    </row>
    <row r="88" spans="1:17" s="75" customFormat="1" ht="15" hidden="1" customHeight="1" x14ac:dyDescent="0.25">
      <c r="C88" s="82"/>
      <c r="D88" s="23" t="s">
        <v>70</v>
      </c>
      <c r="E88" s="23" t="str">
        <f>_xll.DBRW("region06:Relative Time",$E$85,E$89,"ActFor")</f>
        <v>A</v>
      </c>
      <c r="F88" s="23" t="str">
        <f>_xll.DBRW("region06:Relative Time",$E$85,F$89,"ActFor")</f>
        <v>A</v>
      </c>
      <c r="G88" s="23" t="str">
        <f>_xll.DBRW("region06:Relative Time",$E$85,G$89,"ActFor")</f>
        <v>A</v>
      </c>
      <c r="H88" s="23" t="str">
        <f>_xll.DBRW("region06:Relative Time",$E$85,H$89,"ActFor")</f>
        <v>A</v>
      </c>
      <c r="I88" s="23" t="str">
        <f>_xll.DBRW("region06:Relative Time",$E$85,I$89,"ActFor")</f>
        <v>A</v>
      </c>
      <c r="J88" s="23" t="str">
        <f>_xll.DBRW("region06:Relative Time",$E$85,J$89,"ActFor")</f>
        <v>A</v>
      </c>
      <c r="K88" s="23" t="str">
        <f>_xll.DBRW("region06:Relative Time",$E$85,K$89,"ActFor")</f>
        <v>F</v>
      </c>
      <c r="L88" s="23" t="str">
        <f>_xll.DBRW("region06:Relative Time",$E$85,L$89,"ActFor")</f>
        <v>F</v>
      </c>
      <c r="M88" s="23" t="str">
        <f>_xll.DBRW("region06:Relative Time",$E$85,M$89,"ActFor")</f>
        <v>F</v>
      </c>
      <c r="N88" s="23" t="str">
        <f>_xll.DBRW("region06:Relative Time",$E$85,N$89,"ActFor")</f>
        <v>F</v>
      </c>
      <c r="O88" s="23" t="str">
        <f>_xll.DBRW("region06:Relative Time",$E$85,O$89,"ActFor")</f>
        <v>F</v>
      </c>
      <c r="P88" s="23" t="str">
        <f>_xll.DBRW("region06:Relative Time",$E$85,P$89,"ActFor")</f>
        <v>F</v>
      </c>
      <c r="Q88" s="23"/>
    </row>
    <row r="89" spans="1:17" s="75" customFormat="1" ht="12" x14ac:dyDescent="0.25">
      <c r="C89" s="23"/>
      <c r="D89" s="23" t="s">
        <v>71</v>
      </c>
      <c r="E89" s="23" t="s">
        <v>30</v>
      </c>
      <c r="F89" s="23" t="s">
        <v>31</v>
      </c>
      <c r="G89" s="23" t="s">
        <v>32</v>
      </c>
      <c r="H89" s="23" t="s">
        <v>33</v>
      </c>
      <c r="I89" s="23" t="s">
        <v>34</v>
      </c>
      <c r="J89" s="23" t="s">
        <v>35</v>
      </c>
      <c r="K89" s="23" t="s">
        <v>36</v>
      </c>
      <c r="L89" s="23" t="s">
        <v>37</v>
      </c>
      <c r="M89" s="23" t="s">
        <v>38</v>
      </c>
      <c r="N89" s="23" t="s">
        <v>39</v>
      </c>
      <c r="O89" s="23" t="s">
        <v>40</v>
      </c>
      <c r="P89" s="23" t="s">
        <v>41</v>
      </c>
      <c r="Q89" s="23" t="s">
        <v>0</v>
      </c>
    </row>
    <row r="90" spans="1:17" s="75" customFormat="1" ht="3.95" customHeight="1" x14ac:dyDescent="0.25"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</row>
    <row r="91" spans="1:17" s="54" customFormat="1" ht="11.25" x14ac:dyDescent="0.2">
      <c r="A91" s="54" t="str">
        <f>IF(_xll.TM1RPTELISCONSOLIDATED($C$91,$C91),IF(_xll.TM1RPTELLEV($C$91,$C91)&lt;=3,_xll.TM1RPTELLEV($C$91,$C91),"D"),"N")</f>
        <v>N</v>
      </c>
      <c r="C91" s="84" t="str">
        <f>_xll.TM1RPTROW($C$81,"region06:Account","Summary",,"Caption_Default",1)</f>
        <v>4999 Gross Revenue</v>
      </c>
      <c r="D91" s="47" t="str">
        <f>_xll.DBRW("region06:FcstMethod",$C91,"FcstMethod")</f>
        <v>Remaining Budget</v>
      </c>
      <c r="E91" s="68">
        <f>_xll.DBRW($C$81,$D$85,$C$85,$E$85,E$89,$C91,$F$85)</f>
        <v>5122390.7155443691</v>
      </c>
      <c r="F91" s="68">
        <f>_xll.DBRW($C$81,$D$85,$C$85,$E$85,F$89,$C91,$F$85)</f>
        <v>6154509.6089550499</v>
      </c>
      <c r="G91" s="68">
        <f>_xll.DBRW($C$81,$D$85,$C$85,$E$85,G$89,$C91,$F$85)</f>
        <v>8014283.8051746404</v>
      </c>
      <c r="H91" s="68">
        <f>_xll.DBRW($C$81,$D$85,$C$85,$E$85,H$89,$C91,$F$85)</f>
        <v>7398190.689396495</v>
      </c>
      <c r="I91" s="68">
        <f>_xll.DBRW($C$81,$D$85,$C$85,$E$85,I$89,$C91,$F$85)</f>
        <v>7172213.7999641998</v>
      </c>
      <c r="J91" s="68">
        <f>_xll.DBRW($C$81,$D$85,$C$85,$E$85,J$89,$C91,$F$85)</f>
        <v>6013042.8491689032</v>
      </c>
      <c r="K91" s="68">
        <f>_xll.DBRW($C$81,$D$85,$C$85,$E$85,K$89,$C91,$F$85)</f>
        <v>52992622.995532669</v>
      </c>
      <c r="L91" s="68">
        <f>_xll.DBRW($C$81,$D$85,$C$85,$E$85,L$89,$C91,$F$85)</f>
        <v>48348820.815744296</v>
      </c>
      <c r="M91" s="68">
        <f>_xll.DBRW($C$81,$D$85,$C$85,$E$85,M$89,$C91,$F$85)</f>
        <v>50635898.320428148</v>
      </c>
      <c r="N91" s="68">
        <f>_xll.DBRW($C$81,$D$85,$C$85,$E$85,N$89,$C91,$F$85)</f>
        <v>16558031.640163593</v>
      </c>
      <c r="O91" s="68">
        <f>_xll.DBRW($C$81,$D$85,$C$85,$E$85,O$89,$C91,$F$85)</f>
        <v>16297320.755135788</v>
      </c>
      <c r="P91" s="68">
        <f>_xll.DBRW($C$81,$D$85,$C$85,$E$85,P$89,$C91,$F$85)</f>
        <v>14812154.561036522</v>
      </c>
      <c r="Q91" s="68">
        <f>_xll.DBRW($C$81,$D$85,$C$85,$E$85,Q$89,$C91,$F$85)</f>
        <v>239519480.55624467</v>
      </c>
    </row>
    <row r="92" spans="1:17" s="54" customFormat="1" ht="11.25" x14ac:dyDescent="0.2">
      <c r="A92" s="54" t="str">
        <f>IF(_xll.TM1RPTELISCONSOLIDATED($C$91,$C92),IF(_xll.TM1RPTELLEV($C$91,$C92)&lt;=3,_xll.TM1RPTELLEV($C$91,$C92),"D"),"N")</f>
        <v>N</v>
      </c>
      <c r="C92" s="84" t="s">
        <v>42</v>
      </c>
      <c r="D92" s="47" t="str">
        <f>_xll.DBRW("region06:FcstMethod",$C92,"FcstMethod")</f>
        <v>Last Year Actual</v>
      </c>
      <c r="E92" s="68">
        <f>_xll.DBRW($C$81,$D$85,$C$85,$E$85,E$89,$C92,$F$85)</f>
        <v>3144045.7993978076</v>
      </c>
      <c r="F92" s="68">
        <f>_xll.DBRW($C$81,$D$85,$C$85,$E$85,F$89,$C92,$F$85)</f>
        <v>3725157.870324255</v>
      </c>
      <c r="G92" s="68">
        <f>_xll.DBRW($C$81,$D$85,$C$85,$E$85,G$89,$C92,$F$85)</f>
        <v>4744819.4878517473</v>
      </c>
      <c r="H92" s="68">
        <f>_xll.DBRW($C$81,$D$85,$C$85,$E$85,H$89,$C92,$F$85)</f>
        <v>4416873.4474021364</v>
      </c>
      <c r="I92" s="68">
        <f>_xll.DBRW($C$81,$D$85,$C$85,$E$85,I$89,$C92,$F$85)</f>
        <v>4329861.7286047433</v>
      </c>
      <c r="J92" s="68">
        <f>_xll.DBRW($C$81,$D$85,$C$85,$E$85,J$89,$C92,$F$85)</f>
        <v>3691393.8731069933</v>
      </c>
      <c r="K92" s="68">
        <f>_xll.DBRW($C$81,$D$85,$C$85,$E$85,K$89,$C92,$F$85)</f>
        <v>5206614.9255729942</v>
      </c>
      <c r="L92" s="68">
        <f>_xll.DBRW($C$81,$D$85,$C$85,$E$85,L$89,$C92,$F$85)</f>
        <v>4898537.5159540465</v>
      </c>
      <c r="M92" s="68">
        <f>_xll.DBRW($C$81,$D$85,$C$85,$E$85,M$89,$C92,$F$85)</f>
        <v>4444565.1738225846</v>
      </c>
      <c r="N92" s="68">
        <f>_xll.DBRW($C$81,$D$85,$C$85,$E$85,N$89,$C92,$F$85)</f>
        <v>3922312.8667793409</v>
      </c>
      <c r="O92" s="68">
        <f>_xll.DBRW($C$81,$D$85,$C$85,$E$85,O$89,$C92,$F$85)</f>
        <v>3847207.8105368866</v>
      </c>
      <c r="P92" s="68">
        <f>_xll.DBRW($C$81,$D$85,$C$85,$E$85,P$89,$C92,$F$85)</f>
        <v>3547791.6439495953</v>
      </c>
      <c r="Q92" s="68">
        <f>_xll.DBRW($C$81,$D$85,$C$85,$E$85,Q$89,$C92,$F$85)</f>
        <v>49919182.143303126</v>
      </c>
    </row>
    <row r="93" spans="1:17" s="54" customFormat="1" ht="11.25" x14ac:dyDescent="0.2">
      <c r="A93" s="80">
        <f>IF(_xll.TM1RPTELISCONSOLIDATED($C$91,$C93),IF(_xll.TM1RPTELLEV($C$91,$C93)&lt;=3,_xll.TM1RPTELLEV($C$91,$C93),"D"),"N")</f>
        <v>2</v>
      </c>
      <c r="C93" s="145" t="s">
        <v>43</v>
      </c>
      <c r="D93" s="47" t="str">
        <f>_xll.DBRW("region06:FcstMethod",$C93,"FcstMethod")</f>
        <v>Last Year Actual</v>
      </c>
      <c r="E93" s="72">
        <f>_xll.DBRW($C$81,$D$85,$C$85,$E$85,E$89,$C93,$F$85)</f>
        <v>1978344.9161465615</v>
      </c>
      <c r="F93" s="72">
        <f>_xll.DBRW($C$81,$D$85,$C$85,$E$85,F$89,$C93,$F$85)</f>
        <v>2429351.7386307949</v>
      </c>
      <c r="G93" s="72">
        <f>_xll.DBRW($C$81,$D$85,$C$85,$E$85,G$89,$C93,$F$85)</f>
        <v>3269464.3173228931</v>
      </c>
      <c r="H93" s="72">
        <f>_xll.DBRW($C$81,$D$85,$C$85,$E$85,H$89,$C93,$F$85)</f>
        <v>2981317.2419943586</v>
      </c>
      <c r="I93" s="72">
        <f>_xll.DBRW($C$81,$D$85,$C$85,$E$85,I$89,$C93,$F$85)</f>
        <v>2842352.0713594565</v>
      </c>
      <c r="J93" s="72">
        <f>_xll.DBRW($C$81,$D$85,$C$85,$E$85,J$89,$C93,$F$85)</f>
        <v>2321648.9760619099</v>
      </c>
      <c r="K93" s="72">
        <f>_xll.DBRW($C$81,$D$85,$C$85,$E$85,K$89,$C93,$F$85)</f>
        <v>47786008.069959678</v>
      </c>
      <c r="L93" s="72">
        <f>_xll.DBRW($C$81,$D$85,$C$85,$E$85,L$89,$C93,$F$85)</f>
        <v>43450283.299790248</v>
      </c>
      <c r="M93" s="72">
        <f>_xll.DBRW($C$81,$D$85,$C$85,$E$85,M$89,$C93,$F$85)</f>
        <v>46191333.146605566</v>
      </c>
      <c r="N93" s="72">
        <f>_xll.DBRW($C$81,$D$85,$C$85,$E$85,N$89,$C93,$F$85)</f>
        <v>12635718.773384253</v>
      </c>
      <c r="O93" s="72">
        <f>_xll.DBRW($C$81,$D$85,$C$85,$E$85,O$89,$C93,$F$85)</f>
        <v>12450112.944598902</v>
      </c>
      <c r="P93" s="72">
        <f>_xll.DBRW($C$81,$D$85,$C$85,$E$85,P$89,$C93,$F$85)</f>
        <v>11264362.917086925</v>
      </c>
      <c r="Q93" s="72">
        <f>_xll.DBRW($C$81,$D$85,$C$85,$E$85,Q$89,$C93,$F$85)</f>
        <v>189600298.41294155</v>
      </c>
    </row>
    <row r="94" spans="1:17" s="54" customFormat="1" ht="11.25" x14ac:dyDescent="0.2">
      <c r="A94" s="80">
        <f>IF(_xll.TM1RPTELISCONSOLIDATED($C$91,$C94),IF(_xll.TM1RPTELLEV($C$91,$C94)&lt;=3,_xll.TM1RPTELLEV($C$91,$C94),"D"),"N")</f>
        <v>3</v>
      </c>
      <c r="C94" s="148" t="s">
        <v>44</v>
      </c>
      <c r="D94" s="47" t="str">
        <f>_xll.DBRW("region06:FcstMethod",$C94,"FcstMethod")</f>
        <v>Budget</v>
      </c>
      <c r="E94" s="72">
        <f>_xll.DBRW($C$81,$D$85,$C$85,$E$85,E$89,$C94,$F$85)</f>
        <v>558049.83435996657</v>
      </c>
      <c r="F94" s="72">
        <f>_xll.DBRW($C$81,$D$85,$C$85,$E$85,F$89,$C94,$F$85)</f>
        <v>570592.12186323118</v>
      </c>
      <c r="G94" s="72">
        <f>_xll.DBRW($C$81,$D$85,$C$85,$E$85,G$89,$C94,$F$85)</f>
        <v>580817.51847948239</v>
      </c>
      <c r="H94" s="72">
        <f>_xll.DBRW($C$81,$D$85,$C$85,$E$85,H$89,$C94,$F$85)</f>
        <v>584918.17504903534</v>
      </c>
      <c r="I94" s="72">
        <f>_xll.DBRW($C$81,$D$85,$C$85,$E$85,I$89,$C94,$F$85)</f>
        <v>587632.66953912808</v>
      </c>
      <c r="J94" s="72">
        <f>_xll.DBRW($C$81,$D$85,$C$85,$E$85,J$89,$C94,$F$85)</f>
        <v>591641.87012040219</v>
      </c>
      <c r="K94" s="72">
        <f>_xll.DBRW($C$81,$D$85,$C$85,$E$85,K$89,$C94,$F$85)</f>
        <v>565704.64934710215</v>
      </c>
      <c r="L94" s="72">
        <f>_xll.DBRW($C$81,$D$85,$C$85,$E$85,L$89,$C94,$F$85)</f>
        <v>565905.23788848589</v>
      </c>
      <c r="M94" s="72">
        <f>_xll.DBRW($C$81,$D$85,$C$85,$E$85,M$89,$C94,$F$85)</f>
        <v>566109.87641541916</v>
      </c>
      <c r="N94" s="72">
        <f>_xll.DBRW($C$81,$D$85,$C$85,$E$85,N$89,$C94,$F$85)</f>
        <v>565471.10909346084</v>
      </c>
      <c r="O94" s="72">
        <f>_xll.DBRW($C$81,$D$85,$C$85,$E$85,O$89,$C94,$F$85)</f>
        <v>564223.83462982299</v>
      </c>
      <c r="P94" s="72">
        <f>_xll.DBRW($C$81,$D$85,$C$85,$E$85,P$89,$C94,$F$85)</f>
        <v>560772.84542175452</v>
      </c>
      <c r="Q94" s="72">
        <f>_xll.DBRW($C$81,$D$85,$C$85,$E$85,Q$89,$C94,$F$85)</f>
        <v>6861839.7422072934</v>
      </c>
    </row>
    <row r="95" spans="1:17" s="54" customFormat="1" ht="11.25" x14ac:dyDescent="0.2">
      <c r="A95" s="80">
        <f>IF(_xll.TM1RPTELISCONSOLIDATED($C$91,$C95),IF(_xll.TM1RPTELLEV($C$91,$C95)&lt;=3,_xll.TM1RPTELLEV($C$91,$C95),"D"),"N")</f>
        <v>3</v>
      </c>
      <c r="C95" s="148" t="s">
        <v>45</v>
      </c>
      <c r="D95" s="47" t="str">
        <f>_xll.DBRW("region06:FcstMethod",$C95,"FcstMethod")</f>
        <v/>
      </c>
      <c r="E95" s="72">
        <f>_xll.DBRW($C$81,$D$85,$C$85,$E$85,E$89,$C95,$F$85)</f>
        <v>54920</v>
      </c>
      <c r="F95" s="72">
        <f>_xll.DBRW($C$81,$D$85,$C$85,$E$85,F$89,$C95,$F$85)</f>
        <v>54920</v>
      </c>
      <c r="G95" s="72">
        <f>_xll.DBRW($C$81,$D$85,$C$85,$E$85,G$89,$C95,$F$85)</f>
        <v>54920</v>
      </c>
      <c r="H95" s="72">
        <f>_xll.DBRW($C$81,$D$85,$C$85,$E$85,H$89,$C95,$F$85)</f>
        <v>54920</v>
      </c>
      <c r="I95" s="72">
        <f>_xll.DBRW($C$81,$D$85,$C$85,$E$85,I$89,$C95,$F$85)</f>
        <v>54920</v>
      </c>
      <c r="J95" s="72">
        <f>_xll.DBRW($C$81,$D$85,$C$85,$E$85,J$89,$C95,$F$85)</f>
        <v>54920</v>
      </c>
      <c r="K95" s="72">
        <f>_xll.DBRW($C$81,$D$85,$C$85,$E$85,K$89,$C95,$F$85)</f>
        <v>54523.684090016926</v>
      </c>
      <c r="L95" s="72">
        <f>_xll.DBRW($C$81,$D$85,$C$85,$E$85,L$89,$C95,$F$85)</f>
        <v>54523.684090016926</v>
      </c>
      <c r="M95" s="72">
        <f>_xll.DBRW($C$81,$D$85,$C$85,$E$85,M$89,$C95,$F$85)</f>
        <v>54523.684090016926</v>
      </c>
      <c r="N95" s="72">
        <f>_xll.DBRW($C$81,$D$85,$C$85,$E$85,N$89,$C95,$F$85)</f>
        <v>54523.684090016926</v>
      </c>
      <c r="O95" s="72">
        <f>_xll.DBRW($C$81,$D$85,$C$85,$E$85,O$89,$C95,$F$85)</f>
        <v>54523.684090016926</v>
      </c>
      <c r="P95" s="72">
        <f>_xll.DBRW($C$81,$D$85,$C$85,$E$85,P$89,$C95,$F$85)</f>
        <v>54523.684090016926</v>
      </c>
      <c r="Q95" s="72">
        <f>_xll.DBRW($C$81,$D$85,$C$85,$E$85,Q$89,$C95,$F$85)</f>
        <v>656662.10454010149</v>
      </c>
    </row>
    <row r="96" spans="1:17" s="54" customFormat="1" ht="11.25" x14ac:dyDescent="0.2">
      <c r="A96" s="80">
        <f>IF(_xll.TM1RPTELISCONSOLIDATED($C$91,$C96),IF(_xll.TM1RPTELLEV($C$91,$C96)&lt;=3,_xll.TM1RPTELLEV($C$91,$C96),"D"),"N")</f>
        <v>3</v>
      </c>
      <c r="C96" s="148" t="s">
        <v>46</v>
      </c>
      <c r="D96" s="47" t="str">
        <f>_xll.DBRW("region06:FcstMethod",$C96,"FcstMethod")</f>
        <v/>
      </c>
      <c r="E96" s="72">
        <f>_xll.DBRW($C$81,$D$85,$C$85,$E$85,E$89,$C96,$F$85)</f>
        <v>35790</v>
      </c>
      <c r="F96" s="72">
        <f>_xll.DBRW($C$81,$D$85,$C$85,$E$85,F$89,$C96,$F$85)</f>
        <v>35790</v>
      </c>
      <c r="G96" s="72">
        <f>_xll.DBRW($C$81,$D$85,$C$85,$E$85,G$89,$C96,$F$85)</f>
        <v>35790</v>
      </c>
      <c r="H96" s="72">
        <f>_xll.DBRW($C$81,$D$85,$C$85,$E$85,H$89,$C96,$F$85)</f>
        <v>35790</v>
      </c>
      <c r="I96" s="72">
        <f>_xll.DBRW($C$81,$D$85,$C$85,$E$85,I$89,$C96,$F$85)</f>
        <v>35790</v>
      </c>
      <c r="J96" s="72">
        <f>_xll.DBRW($C$81,$D$85,$C$85,$E$85,J$89,$C96,$F$85)</f>
        <v>35790</v>
      </c>
      <c r="K96" s="72">
        <f>_xll.DBRW($C$81,$D$85,$C$85,$E$85,K$89,$C96,$F$85)</f>
        <v>39080.223682563526</v>
      </c>
      <c r="L96" s="72">
        <f>_xll.DBRW($C$81,$D$85,$C$85,$E$85,L$89,$C96,$F$85)</f>
        <v>39080.223682563526</v>
      </c>
      <c r="M96" s="72">
        <f>_xll.DBRW($C$81,$D$85,$C$85,$E$85,M$89,$C96,$F$85)</f>
        <v>39080.223682563526</v>
      </c>
      <c r="N96" s="72">
        <f>_xll.DBRW($C$81,$D$85,$C$85,$E$85,N$89,$C96,$F$85)</f>
        <v>39080.223682563526</v>
      </c>
      <c r="O96" s="72">
        <f>_xll.DBRW($C$81,$D$85,$C$85,$E$85,O$89,$C96,$F$85)</f>
        <v>39080.223682563526</v>
      </c>
      <c r="P96" s="72">
        <f>_xll.DBRW($C$81,$D$85,$C$85,$E$85,P$89,$C96,$F$85)</f>
        <v>39080.223682563519</v>
      </c>
      <c r="Q96" s="72">
        <f>_xll.DBRW($C$81,$D$85,$C$85,$E$85,Q$89,$C96,$F$85)</f>
        <v>449221.34209538106</v>
      </c>
    </row>
    <row r="97" spans="1:18" s="54" customFormat="1" ht="11.25" x14ac:dyDescent="0.2">
      <c r="A97" s="80">
        <f>IF(_xll.TM1RPTELISCONSOLIDATED($C$91,$C97),IF(_xll.TM1RPTELLEV($C$91,$C97)&lt;=3,_xll.TM1RPTELLEV($C$91,$C97),"D"),"N")</f>
        <v>3</v>
      </c>
      <c r="C97" s="148" t="s">
        <v>47</v>
      </c>
      <c r="D97" s="47" t="str">
        <f>_xll.DBRW("region06:FcstMethod",$C97,"FcstMethod")</f>
        <v/>
      </c>
      <c r="E97" s="72">
        <f>_xll.DBRW($C$81,$D$85,$C$85,$E$85,E$89,$C97,$F$85)</f>
        <v>283550.94871794863</v>
      </c>
      <c r="F97" s="72">
        <f>_xll.DBRW($C$81,$D$85,$C$85,$E$85,F$89,$C97,$F$85)</f>
        <v>233807.35897435888</v>
      </c>
      <c r="G97" s="72">
        <f>_xll.DBRW($C$81,$D$85,$C$85,$E$85,G$89,$C97,$F$85)</f>
        <v>184063.76923076919</v>
      </c>
      <c r="H97" s="72">
        <f>_xll.DBRW($C$81,$D$85,$C$85,$E$85,H$89,$C97,$F$85)</f>
        <v>134320.51282051278</v>
      </c>
      <c r="I97" s="72">
        <f>_xll.DBRW($C$81,$D$85,$C$85,$E$85,I$89,$C97,$F$85)</f>
        <v>134320.51282051278</v>
      </c>
      <c r="J97" s="72">
        <f>_xll.DBRW($C$81,$D$85,$C$85,$E$85,J$89,$C97,$F$85)</f>
        <v>134320.51282051278</v>
      </c>
      <c r="K97" s="72">
        <f>_xll.DBRW($C$81,$D$85,$C$85,$E$85,K$89,$C97,$F$85)</f>
        <v>192780.21978021978</v>
      </c>
      <c r="L97" s="72">
        <f>_xll.DBRW($C$81,$D$85,$C$85,$E$85,L$89,$C97,$F$85)</f>
        <v>192780.21978021978</v>
      </c>
      <c r="M97" s="72">
        <f>_xll.DBRW($C$81,$D$85,$C$85,$E$85,M$89,$C97,$F$85)</f>
        <v>219401.09890109883</v>
      </c>
      <c r="N97" s="72">
        <f>_xll.DBRW($C$81,$D$85,$C$85,$E$85,N$89,$C97,$F$85)</f>
        <v>243785.71428571426</v>
      </c>
      <c r="O97" s="72">
        <f>_xll.DBRW($C$81,$D$85,$C$85,$E$85,O$89,$C97,$F$85)</f>
        <v>337939.56043956033</v>
      </c>
      <c r="P97" s="72">
        <f>_xll.DBRW($C$81,$D$85,$C$85,$E$85,P$89,$C97,$F$85)</f>
        <v>462642.85714285693</v>
      </c>
      <c r="Q97" s="72">
        <f>_xll.DBRW($C$81,$D$85,$C$85,$E$85,Q$89,$C97,$F$85)</f>
        <v>2753713.285714285</v>
      </c>
    </row>
    <row r="98" spans="1:18" s="54" customFormat="1" ht="11.25" x14ac:dyDescent="0.2">
      <c r="A98" s="80">
        <f>IF(_xll.TM1RPTELISCONSOLIDATED($C$91,$C98),IF(_xll.TM1RPTELLEV($C$91,$C98)&lt;=3,_xll.TM1RPTELLEV($C$91,$C98),"D"),"N")</f>
        <v>3</v>
      </c>
      <c r="C98" s="148" t="s">
        <v>48</v>
      </c>
      <c r="D98" s="47" t="str">
        <f>_xll.DBRW("region06:FcstMethod",$C98,"FcstMethod")</f>
        <v>Budget</v>
      </c>
      <c r="E98" s="72">
        <f>_xll.DBRW($C$81,$D$85,$C$85,$E$85,E$89,$C98,$F$85)</f>
        <v>83520</v>
      </c>
      <c r="F98" s="72">
        <f>_xll.DBRW($C$81,$D$85,$C$85,$E$85,F$89,$C98,$F$85)</f>
        <v>83520</v>
      </c>
      <c r="G98" s="72">
        <f>_xll.DBRW($C$81,$D$85,$C$85,$E$85,G$89,$C98,$F$85)</f>
        <v>83520</v>
      </c>
      <c r="H98" s="72">
        <f>_xll.DBRW($C$81,$D$85,$C$85,$E$85,H$89,$C98,$F$85)</f>
        <v>83520</v>
      </c>
      <c r="I98" s="72">
        <f>_xll.DBRW($C$81,$D$85,$C$85,$E$85,I$89,$C98,$F$85)</f>
        <v>83520</v>
      </c>
      <c r="J98" s="72">
        <f>_xll.DBRW($C$81,$D$85,$C$85,$E$85,J$89,$C98,$F$85)</f>
        <v>83520</v>
      </c>
      <c r="K98" s="72">
        <f>_xll.DBRW($C$81,$D$85,$C$85,$E$85,K$89,$C98,$F$85)</f>
        <v>82879.839134840135</v>
      </c>
      <c r="L98" s="72">
        <f>_xll.DBRW($C$81,$D$85,$C$85,$E$85,L$89,$C98,$F$85)</f>
        <v>82879.839134840135</v>
      </c>
      <c r="M98" s="72">
        <f>_xll.DBRW($C$81,$D$85,$C$85,$E$85,M$89,$C98,$F$85)</f>
        <v>82879.839134840135</v>
      </c>
      <c r="N98" s="72">
        <f>_xll.DBRW($C$81,$D$85,$C$85,$E$85,N$89,$C98,$F$85)</f>
        <v>86688.415124901978</v>
      </c>
      <c r="O98" s="72">
        <f>_xll.DBRW($C$81,$D$85,$C$85,$E$85,O$89,$C98,$F$85)</f>
        <v>82899.415124901978</v>
      </c>
      <c r="P98" s="72">
        <f>_xll.DBRW($C$81,$D$85,$C$85,$E$85,P$89,$C98,$F$85)</f>
        <v>82899.415124901978</v>
      </c>
      <c r="Q98" s="72">
        <f>_xll.DBRW($C$81,$D$85,$C$85,$E$85,Q$89,$C98,$F$85)</f>
        <v>1002246.7627792266</v>
      </c>
    </row>
    <row r="99" spans="1:18" s="54" customFormat="1" ht="11.25" x14ac:dyDescent="0.2">
      <c r="A99" s="80">
        <f>IF(_xll.TM1RPTELISCONSOLIDATED($C$91,$C99),IF(_xll.TM1RPTELLEV($C$91,$C99)&lt;=3,_xll.TM1RPTELLEV($C$91,$C99),"D"),"N")</f>
        <v>3</v>
      </c>
      <c r="C99" s="148" t="s">
        <v>49</v>
      </c>
      <c r="D99" s="47" t="str">
        <f>_xll.DBRW("region06:FcstMethod",$C99,"FcstMethod")</f>
        <v/>
      </c>
      <c r="E99" s="72">
        <f>_xll.DBRW($C$81,$D$85,$C$85,$E$85,E$89,$C99,$F$85)</f>
        <v>20400.000000000004</v>
      </c>
      <c r="F99" s="72">
        <f>_xll.DBRW($C$81,$D$85,$C$85,$E$85,F$89,$C99,$F$85)</f>
        <v>40087.5</v>
      </c>
      <c r="G99" s="72">
        <f>_xll.DBRW($C$81,$D$85,$C$85,$E$85,G$89,$C99,$F$85)</f>
        <v>110212.5</v>
      </c>
      <c r="H99" s="72">
        <f>_xll.DBRW($C$81,$D$85,$C$85,$E$85,H$89,$C99,$F$85)</f>
        <v>146962.5</v>
      </c>
      <c r="I99" s="72">
        <f>_xll.DBRW($C$81,$D$85,$C$85,$E$85,I$89,$C99,$F$85)</f>
        <v>161962.5</v>
      </c>
      <c r="J99" s="72">
        <f>_xll.DBRW($C$81,$D$85,$C$85,$E$85,J$89,$C99,$F$85)</f>
        <v>201149.99999999994</v>
      </c>
      <c r="K99" s="72">
        <f>_xll.DBRW($C$81,$D$85,$C$85,$E$85,K$89,$C99,$F$85)</f>
        <v>170025</v>
      </c>
      <c r="L99" s="72">
        <f>_xll.DBRW($C$81,$D$85,$C$85,$E$85,L$89,$C99,$F$85)</f>
        <v>177712.5</v>
      </c>
      <c r="M99" s="72">
        <f>_xll.DBRW($C$81,$D$85,$C$85,$E$85,M$89,$C99,$F$85)</f>
        <v>182962.5</v>
      </c>
      <c r="N99" s="72">
        <f>_xll.DBRW($C$81,$D$85,$C$85,$E$85,N$89,$C99,$F$85)</f>
        <v>176899.99999999997</v>
      </c>
      <c r="O99" s="72">
        <f>_xll.DBRW($C$81,$D$85,$C$85,$E$85,O$89,$C99,$F$85)</f>
        <v>179191.66666666666</v>
      </c>
      <c r="P99" s="72">
        <f>_xll.DBRW($C$81,$D$85,$C$85,$E$85,P$89,$C99,$F$85)</f>
        <v>179684.72222222219</v>
      </c>
      <c r="Q99" s="72">
        <f>_xll.DBRW($C$81,$D$85,$C$85,$E$85,Q$89,$C99,$F$85)</f>
        <v>1747251.388888889</v>
      </c>
    </row>
    <row r="100" spans="1:18" s="54" customFormat="1" ht="11.25" x14ac:dyDescent="0.2">
      <c r="A100" s="80">
        <f>IF(_xll.TM1RPTELISCONSOLIDATED($C$91,$C100),IF(_xll.TM1RPTELLEV($C$91,$C100)&lt;=3,_xll.TM1RPTELLEV($C$91,$C100),"D"),"N")</f>
        <v>2</v>
      </c>
      <c r="C100" s="145" t="s">
        <v>50</v>
      </c>
      <c r="D100" s="47" t="str">
        <f>_xll.DBRW("region06:FcstMethod",$C100,"FcstMethod")</f>
        <v/>
      </c>
      <c r="E100" s="72">
        <f>_xll.DBRW($C$81,$D$85,$C$85,$E$85,E$89,$C100,$F$85)</f>
        <v>1036230.7830779152</v>
      </c>
      <c r="F100" s="72">
        <f>_xll.DBRW($C$81,$D$85,$C$85,$E$85,F$89,$C100,$F$85)</f>
        <v>1018716.9808375899</v>
      </c>
      <c r="G100" s="72">
        <f>_xll.DBRW($C$81,$D$85,$C$85,$E$85,G$89,$C100,$F$85)</f>
        <v>1049323.7877102518</v>
      </c>
      <c r="H100" s="72">
        <f>_xll.DBRW($C$81,$D$85,$C$85,$E$85,H$89,$C100,$F$85)</f>
        <v>1040431.1878695482</v>
      </c>
      <c r="I100" s="72">
        <f>_xll.DBRW($C$81,$D$85,$C$85,$E$85,I$89,$C100,$F$85)</f>
        <v>1058145.682359641</v>
      </c>
      <c r="J100" s="72">
        <f>_xll.DBRW($C$81,$D$85,$C$85,$E$85,J$89,$C100,$F$85)</f>
        <v>1101342.3829409152</v>
      </c>
      <c r="K100" s="72">
        <f>_xll.DBRW($C$81,$D$85,$C$85,$E$85,K$89,$C100,$F$85)</f>
        <v>1104993.6160347427</v>
      </c>
      <c r="L100" s="72">
        <f>_xll.DBRW($C$81,$D$85,$C$85,$E$85,L$89,$C100,$F$85)</f>
        <v>1112881.7045761261</v>
      </c>
      <c r="M100" s="72">
        <f>_xll.DBRW($C$81,$D$85,$C$85,$E$85,M$89,$C100,$F$85)</f>
        <v>1144957.2222239384</v>
      </c>
      <c r="N100" s="72">
        <f>_xll.DBRW($C$81,$D$85,$C$85,$E$85,N$89,$C100,$F$85)</f>
        <v>1166449.1462766575</v>
      </c>
      <c r="O100" s="72">
        <f>_xll.DBRW($C$81,$D$85,$C$85,$E$85,O$89,$C100,$F$85)</f>
        <v>1257858.3846335325</v>
      </c>
      <c r="P100" s="72">
        <f>_xll.DBRW($C$81,$D$85,$C$85,$E$85,P$89,$C100,$F$85)</f>
        <v>1379603.7476843162</v>
      </c>
      <c r="Q100" s="72">
        <f>_xll.DBRW($C$81,$D$85,$C$85,$E$85,Q$89,$C100,$F$85)</f>
        <v>13470934.626225164</v>
      </c>
    </row>
    <row r="101" spans="1:18" s="54" customFormat="1" ht="11.25" x14ac:dyDescent="0.2">
      <c r="A101" s="80">
        <f>IF(_xll.TM1RPTELISCONSOLIDATED($C$91,$C101),IF(_xll.TM1RPTELLEV($C$91,$C101)&lt;=3,_xll.TM1RPTELLEV($C$91,$C101),"D"),"N")</f>
        <v>1</v>
      </c>
      <c r="B101" s="92"/>
      <c r="C101" s="146" t="s">
        <v>51</v>
      </c>
      <c r="D101" s="104" t="str">
        <f>_xll.DBRW("region06:FcstMethod",$C101,"FcstMethod")</f>
        <v/>
      </c>
      <c r="E101" s="97">
        <f>_xll.DBRW($C$81,$D$85,$C$85,$E$85,E$89,$C101,$F$85)</f>
        <v>942114.1330686463</v>
      </c>
      <c r="F101" s="97">
        <f>_xll.DBRW($C$81,$D$85,$C$85,$E$85,F$89,$C101,$F$85)</f>
        <v>1410634.7577932051</v>
      </c>
      <c r="G101" s="97">
        <f>_xll.DBRW($C$81,$D$85,$C$85,$E$85,G$89,$C101,$F$85)</f>
        <v>2220140.5296126413</v>
      </c>
      <c r="H101" s="97">
        <f>_xll.DBRW($C$81,$D$85,$C$85,$E$85,H$89,$C101,$F$85)</f>
        <v>1940886.0541248105</v>
      </c>
      <c r="I101" s="97">
        <f>_xll.DBRW($C$81,$D$85,$C$85,$E$85,I$89,$C101,$F$85)</f>
        <v>1784206.3889998156</v>
      </c>
      <c r="J101" s="97">
        <f>_xll.DBRW($C$81,$D$85,$C$85,$E$85,J$89,$C101,$F$85)</f>
        <v>1220306.593120995</v>
      </c>
      <c r="K101" s="97">
        <f>_xll.DBRW($C$81,$D$85,$C$85,$E$85,K$89,$C101,$F$85)</f>
        <v>46681014.453924924</v>
      </c>
      <c r="L101" s="97">
        <f>_xll.DBRW($C$81,$D$85,$C$85,$E$85,L$89,$C101,$F$85)</f>
        <v>42337401.595214121</v>
      </c>
      <c r="M101" s="97">
        <f>_xll.DBRW($C$81,$D$85,$C$85,$E$85,M$89,$C101,$F$85)</f>
        <v>45046375.924381621</v>
      </c>
      <c r="N101" s="97">
        <f>_xll.DBRW($C$81,$D$85,$C$85,$E$85,N$89,$C101,$F$85)</f>
        <v>11469269.627107598</v>
      </c>
      <c r="O101" s="97">
        <f>_xll.DBRW($C$81,$D$85,$C$85,$E$85,O$89,$C101,$F$85)</f>
        <v>11192254.559965372</v>
      </c>
      <c r="P101" s="97">
        <f>_xll.DBRW($C$81,$D$85,$C$85,$E$85,P$89,$C101,$F$85)</f>
        <v>9884759.1694026124</v>
      </c>
      <c r="Q101" s="97">
        <f>_xll.DBRW($C$81,$D$85,$C$85,$E$85,Q$89,$C101,$F$85)</f>
        <v>176129363.78671658</v>
      </c>
      <c r="R101" s="91"/>
    </row>
    <row r="102" spans="1:18" s="54" customFormat="1" ht="11.25" x14ac:dyDescent="0.2">
      <c r="A102" s="80">
        <f>IF(_xll.TM1RPTELISCONSOLIDATED($C$91,$C102),IF(_xll.TM1RPTELLEV($C$91,$C102)&lt;=3,_xll.TM1RPTELLEV($C$91,$C102),"D"),"N")</f>
        <v>1</v>
      </c>
      <c r="B102" s="92"/>
      <c r="C102" s="149" t="s">
        <v>52</v>
      </c>
      <c r="D102" s="104" t="str">
        <f>_xll.DBRW("region06:FcstMethod",$C102,"FcstMethod")</f>
        <v/>
      </c>
      <c r="E102" s="97">
        <f>_xll.DBRW($C$81,$D$85,$C$85,$E$85,E$89,$C102,$F$85)</f>
        <v>0</v>
      </c>
      <c r="F102" s="97">
        <f>_xll.DBRW($C$81,$D$85,$C$85,$E$85,F$89,$C102,$F$85)</f>
        <v>0</v>
      </c>
      <c r="G102" s="97">
        <f>_xll.DBRW($C$81,$D$85,$C$85,$E$85,G$89,$C102,$F$85)</f>
        <v>7.2759576141834259E-12</v>
      </c>
      <c r="H102" s="97">
        <f>_xll.DBRW($C$81,$D$85,$C$85,$E$85,H$89,$C102,$F$85)</f>
        <v>7.2759576141834259E-12</v>
      </c>
      <c r="I102" s="97">
        <f>_xll.DBRW($C$81,$D$85,$C$85,$E$85,I$89,$C102,$F$85)</f>
        <v>-7.2759576141834259E-12</v>
      </c>
      <c r="J102" s="97">
        <f>_xll.DBRW($C$81,$D$85,$C$85,$E$85,J$89,$C102,$F$85)</f>
        <v>-7.2759576141834259E-12</v>
      </c>
      <c r="K102" s="97">
        <f>_xll.DBRW($C$81,$D$85,$C$85,$E$85,K$89,$C102,$F$85)</f>
        <v>0</v>
      </c>
      <c r="L102" s="97">
        <f>_xll.DBRW($C$81,$D$85,$C$85,$E$85,L$89,$C102,$F$85)</f>
        <v>5.8207660913467407E-11</v>
      </c>
      <c r="M102" s="97">
        <f>_xll.DBRW($C$81,$D$85,$C$85,$E$85,M$89,$C102,$F$85)</f>
        <v>-5.8207660913467407E-11</v>
      </c>
      <c r="N102" s="97">
        <f>_xll.DBRW($C$81,$D$85,$C$85,$E$85,N$89,$C102,$F$85)</f>
        <v>0</v>
      </c>
      <c r="O102" s="97">
        <f>_xll.DBRW($C$81,$D$85,$C$85,$E$85,O$89,$C102,$F$85)</f>
        <v>0</v>
      </c>
      <c r="P102" s="97">
        <f>_xll.DBRW($C$81,$D$85,$C$85,$E$85,P$89,$C102,$F$85)</f>
        <v>5.8207660913467407E-11</v>
      </c>
      <c r="Q102" s="97">
        <f>_xll.DBRW($C$81,$D$85,$C$85,$E$85,Q$89,$C102,$F$85)</f>
        <v>5.8207660913467407E-11</v>
      </c>
      <c r="R102" s="91"/>
    </row>
    <row r="103" spans="1:18" s="54" customFormat="1" ht="11.25" x14ac:dyDescent="0.2">
      <c r="A103" s="80">
        <f>IF(_xll.TM1RPTELISCONSOLIDATED($C$91,$C103),IF(_xll.TM1RPTELLEV($C$91,$C103)&lt;=3,_xll.TM1RPTELLEV($C$91,$C103),"D"),"N")</f>
        <v>0</v>
      </c>
      <c r="B103" s="92"/>
      <c r="C103" s="147" t="s">
        <v>53</v>
      </c>
      <c r="D103" s="104" t="str">
        <f>_xll.DBRW("region06:FcstMethod",$C103,"FcstMethod")</f>
        <v/>
      </c>
      <c r="E103" s="97">
        <f>_xll.DBRW($C$81,$D$85,$C$85,$E$85,E$89,$C103,$F$85)</f>
        <v>942114.1330686463</v>
      </c>
      <c r="F103" s="97">
        <f>_xll.DBRW($C$81,$D$85,$C$85,$E$85,F$89,$C103,$F$85)</f>
        <v>1410634.7577932051</v>
      </c>
      <c r="G103" s="97">
        <f>_xll.DBRW($C$81,$D$85,$C$85,$E$85,G$89,$C103,$F$85)</f>
        <v>2220140.5296126413</v>
      </c>
      <c r="H103" s="97">
        <f>_xll.DBRW($C$81,$D$85,$C$85,$E$85,H$89,$C103,$F$85)</f>
        <v>1940886.0541248105</v>
      </c>
      <c r="I103" s="97">
        <f>_xll.DBRW($C$81,$D$85,$C$85,$E$85,I$89,$C103,$F$85)</f>
        <v>1784206.3889998156</v>
      </c>
      <c r="J103" s="97">
        <f>_xll.DBRW($C$81,$D$85,$C$85,$E$85,J$89,$C103,$F$85)</f>
        <v>1220306.593120995</v>
      </c>
      <c r="K103" s="97">
        <f>_xll.DBRW($C$81,$D$85,$C$85,$E$85,K$89,$C103,$F$85)</f>
        <v>46681014.453924924</v>
      </c>
      <c r="L103" s="97">
        <f>_xll.DBRW($C$81,$D$85,$C$85,$E$85,L$89,$C103,$F$85)</f>
        <v>42337401.595214121</v>
      </c>
      <c r="M103" s="97">
        <f>_xll.DBRW($C$81,$D$85,$C$85,$E$85,M$89,$C103,$F$85)</f>
        <v>45046375.924381621</v>
      </c>
      <c r="N103" s="97">
        <f>_xll.DBRW($C$81,$D$85,$C$85,$E$85,N$89,$C103,$F$85)</f>
        <v>11469269.627107598</v>
      </c>
      <c r="O103" s="97">
        <f>_xll.DBRW($C$81,$D$85,$C$85,$E$85,O$89,$C103,$F$85)</f>
        <v>11192254.559965372</v>
      </c>
      <c r="P103" s="97">
        <f>_xll.DBRW($C$81,$D$85,$C$85,$E$85,P$89,$C103,$F$85)</f>
        <v>9884759.1694026124</v>
      </c>
      <c r="Q103" s="97">
        <f>_xll.DBRW($C$81,$D$85,$C$85,$E$85,Q$89,$C103,$F$85)</f>
        <v>176129363.78671658</v>
      </c>
      <c r="R103" s="91"/>
    </row>
  </sheetData>
  <mergeCells count="2">
    <mergeCell ref="F85:G85"/>
    <mergeCell ref="F84:G84"/>
  </mergeCells>
  <phoneticPr fontId="12" type="noConversion"/>
  <conditionalFormatting sqref="E89:H89 E87:H87">
    <cfRule type="expression" dxfId="5" priority="5" stopIfTrue="1">
      <formula>E$88="F"</formula>
    </cfRule>
  </conditionalFormatting>
  <conditionalFormatting sqref="E90:P90">
    <cfRule type="expression" dxfId="4" priority="1">
      <formula>E87="F"</formula>
    </cfRule>
    <cfRule type="expression" dxfId="3" priority="2">
      <formula>E87="A"</formula>
    </cfRule>
  </conditionalFormatting>
  <dataValidations count="1">
    <dataValidation allowBlank="1" showInputMessage="1" showErrorMessage="1" error="The value you entered is not valid._x000a_A user has restricted values that can be entered into this cell." sqref="E88:Q88" xr:uid="{00000000-0002-0000-0600-000000000000}"/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Q14"/>
  <sheetViews>
    <sheetView showGridLines="0" topLeftCell="A2" workbookViewId="0">
      <selection activeCell="H12" sqref="H12"/>
    </sheetView>
  </sheetViews>
  <sheetFormatPr defaultRowHeight="14.25" x14ac:dyDescent="0.2"/>
  <cols>
    <col min="1" max="1" width="1.28515625" style="40" customWidth="1"/>
    <col min="2" max="2" width="16.5703125" style="40" hidden="1" customWidth="1"/>
    <col min="3" max="3" width="9.5703125" style="40" hidden="1" customWidth="1"/>
    <col min="4" max="4" width="13.7109375" style="40" customWidth="1"/>
    <col min="5" max="5" width="9.140625" style="40"/>
    <col min="6" max="6" width="9.5703125" style="40" bestFit="1" customWidth="1"/>
    <col min="7" max="16" width="9.140625" style="40"/>
    <col min="17" max="17" width="12" style="40" customWidth="1"/>
    <col min="18" max="16384" width="9.140625" style="40"/>
  </cols>
  <sheetData>
    <row r="1" spans="1:17" hidden="1" x14ac:dyDescent="0.2">
      <c r="D1" s="40" t="s">
        <v>61</v>
      </c>
      <c r="E1" s="40" t="str">
        <f>_xll.VIEW("region06:Income Statement",$K$5,$D$5,$M$5,"!",$F$5,"!")</f>
        <v>region06:Income Statement</v>
      </c>
    </row>
    <row r="2" spans="1:17" ht="37.5" customHeight="1" x14ac:dyDescent="0.2">
      <c r="A2" s="129"/>
      <c r="B2" s="22"/>
      <c r="C2" s="22"/>
      <c r="D2" s="22" t="s">
        <v>227</v>
      </c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7.5" customHeight="1" x14ac:dyDescent="0.2"/>
    <row r="4" spans="1:17" s="42" customFormat="1" x14ac:dyDescent="0.25">
      <c r="D4" s="141" t="s">
        <v>23</v>
      </c>
      <c r="E4" s="137"/>
      <c r="F4" s="136" t="s">
        <v>72</v>
      </c>
      <c r="G4" s="141"/>
      <c r="H4" s="137"/>
      <c r="I4" s="136" t="s">
        <v>71</v>
      </c>
      <c r="J4" s="137"/>
      <c r="K4" s="136" t="s">
        <v>135</v>
      </c>
      <c r="L4" s="137"/>
      <c r="M4" s="136" t="s">
        <v>0</v>
      </c>
      <c r="N4" s="137"/>
      <c r="O4" s="136" t="s">
        <v>218</v>
      </c>
      <c r="P4" s="137"/>
    </row>
    <row r="5" spans="1:17" s="42" customFormat="1" x14ac:dyDescent="0.25">
      <c r="D5" s="138" t="str">
        <f>_xll.SUBNM("region06:organization","Workflow","101","Caption_Default")</f>
        <v>Massachusetts</v>
      </c>
      <c r="E5" s="138"/>
      <c r="F5" s="138" t="str">
        <f>_xll.SUBNM("region06:Account","","4999","Caption_Default")</f>
        <v>4999 Gross Revenue</v>
      </c>
      <c r="G5" s="138"/>
      <c r="H5" s="138"/>
      <c r="I5" s="138" t="str">
        <f>_xll.DBRW("region06:FcstMethod",$F5,"FcstMethod")</f>
        <v>Remaining Budget</v>
      </c>
      <c r="J5" s="138"/>
      <c r="K5" s="138" t="str">
        <f>_xll.SUBNM("region06:Currency Calc","Default","Local")</f>
        <v>Local</v>
      </c>
      <c r="L5" s="138"/>
      <c r="M5" s="138" t="str">
        <f>_xll.SUBNM("region06:Year","Default","Y2","Caption_Default")</f>
        <v>2021</v>
      </c>
      <c r="N5" s="138"/>
      <c r="O5" s="138" t="str">
        <f>_xll.DBRW("region06:calendar","Fcst Month","String")</f>
        <v>Jul</v>
      </c>
      <c r="P5" s="138"/>
    </row>
    <row r="6" spans="1:17" s="42" customFormat="1" ht="6.75" customHeight="1" x14ac:dyDescent="0.25"/>
    <row r="7" spans="1:17" s="42" customFormat="1" ht="15" customHeight="1" x14ac:dyDescent="0.25">
      <c r="C7" s="51"/>
      <c r="D7" s="23"/>
      <c r="E7" s="23" t="str">
        <f>E8</f>
        <v>A</v>
      </c>
      <c r="F7" s="23" t="str">
        <f t="shared" ref="F7:P7" si="0">F8</f>
        <v>A</v>
      </c>
      <c r="G7" s="23" t="str">
        <f t="shared" si="0"/>
        <v>A</v>
      </c>
      <c r="H7" s="23" t="str">
        <f t="shared" si="0"/>
        <v>A</v>
      </c>
      <c r="I7" s="23" t="str">
        <f t="shared" si="0"/>
        <v>A</v>
      </c>
      <c r="J7" s="23" t="str">
        <f t="shared" si="0"/>
        <v>A</v>
      </c>
      <c r="K7" s="23" t="str">
        <f t="shared" si="0"/>
        <v>F</v>
      </c>
      <c r="L7" s="23" t="str">
        <f t="shared" si="0"/>
        <v>F</v>
      </c>
      <c r="M7" s="23" t="str">
        <f t="shared" si="0"/>
        <v>F</v>
      </c>
      <c r="N7" s="23" t="str">
        <f t="shared" si="0"/>
        <v>F</v>
      </c>
      <c r="O7" s="23" t="str">
        <f t="shared" si="0"/>
        <v>F</v>
      </c>
      <c r="P7" s="23" t="str">
        <f t="shared" si="0"/>
        <v>F</v>
      </c>
      <c r="Q7" s="23"/>
    </row>
    <row r="8" spans="1:17" s="42" customFormat="1" hidden="1" x14ac:dyDescent="0.25">
      <c r="D8" s="23"/>
      <c r="E8" s="23" t="str">
        <f>_xll.DBRW("region06:Relative Time",$M$5,E$9,"ActFor")</f>
        <v>A</v>
      </c>
      <c r="F8" s="23" t="str">
        <f>_xll.DBRW("region06:Relative Time",$M$5,F$9,"ActFor")</f>
        <v>A</v>
      </c>
      <c r="G8" s="23" t="str">
        <f>_xll.DBRW("region06:Relative Time",$M$5,G$9,"ActFor")</f>
        <v>A</v>
      </c>
      <c r="H8" s="23" t="str">
        <f>_xll.DBRW("region06:Relative Time",$M$5,H$9,"ActFor")</f>
        <v>A</v>
      </c>
      <c r="I8" s="23" t="str">
        <f>_xll.DBRW("region06:Relative Time",$M$5,I$9,"ActFor")</f>
        <v>A</v>
      </c>
      <c r="J8" s="23" t="str">
        <f>_xll.DBRW("region06:Relative Time",$M$5,J$9,"ActFor")</f>
        <v>A</v>
      </c>
      <c r="K8" s="23" t="str">
        <f>_xll.DBRW("region06:Relative Time",$M$5,K$9,"ActFor")</f>
        <v>F</v>
      </c>
      <c r="L8" s="23" t="str">
        <f>_xll.DBRW("region06:Relative Time",$M$5,L$9,"ActFor")</f>
        <v>F</v>
      </c>
      <c r="M8" s="23" t="str">
        <f>_xll.DBRW("region06:Relative Time",$M$5,M$9,"ActFor")</f>
        <v>F</v>
      </c>
      <c r="N8" s="23" t="str">
        <f>_xll.DBRW("region06:Relative Time",$M$5,N$9,"ActFor")</f>
        <v>F</v>
      </c>
      <c r="O8" s="23" t="str">
        <f>_xll.DBRW("region06:Relative Time",$M$5,O$9,"ActFor")</f>
        <v>F</v>
      </c>
      <c r="P8" s="23" t="str">
        <f>_xll.DBRW("region06:Relative Time",$M$5,P$9,"ActFor")</f>
        <v>F</v>
      </c>
      <c r="Q8" s="23"/>
    </row>
    <row r="9" spans="1:17" s="42" customFormat="1" x14ac:dyDescent="0.25">
      <c r="D9" s="23" t="s">
        <v>29</v>
      </c>
      <c r="E9" s="23" t="s">
        <v>30</v>
      </c>
      <c r="F9" s="23" t="s">
        <v>31</v>
      </c>
      <c r="G9" s="23" t="s">
        <v>32</v>
      </c>
      <c r="H9" s="23" t="s">
        <v>33</v>
      </c>
      <c r="I9" s="23" t="s">
        <v>34</v>
      </c>
      <c r="J9" s="23" t="s">
        <v>35</v>
      </c>
      <c r="K9" s="23" t="s">
        <v>36</v>
      </c>
      <c r="L9" s="23" t="s">
        <v>37</v>
      </c>
      <c r="M9" s="23" t="s">
        <v>38</v>
      </c>
      <c r="N9" s="23" t="s">
        <v>39</v>
      </c>
      <c r="O9" s="23" t="s">
        <v>40</v>
      </c>
      <c r="P9" s="23" t="s">
        <v>41</v>
      </c>
      <c r="Q9" s="23" t="s">
        <v>0</v>
      </c>
    </row>
    <row r="10" spans="1:17" s="42" customFormat="1" ht="3" customHeight="1" x14ac:dyDescent="0.25"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</row>
    <row r="11" spans="1:17" x14ac:dyDescent="0.2">
      <c r="B11" s="73" t="s">
        <v>123</v>
      </c>
      <c r="C11" s="73" t="s">
        <v>56</v>
      </c>
      <c r="D11" s="74" t="s">
        <v>56</v>
      </c>
      <c r="E11" s="68">
        <f>_xll.DBRW($E$1,$K$5,$D$5,$M$5,E$9,$F$5,$C11)</f>
        <v>458462.21983138006</v>
      </c>
      <c r="F11" s="68">
        <f>_xll.DBRW($E$1,$K$5,$D$5,$M$5,F$9,$F$5,$C11)</f>
        <v>547920.0559893212</v>
      </c>
      <c r="G11" s="68">
        <f>_xll.DBRW($E$1,$K$5,$D$5,$M$5,G$9,$F$5,$C11)</f>
        <v>702486.12825806753</v>
      </c>
      <c r="H11" s="68">
        <f>_xll.DBRW($E$1,$K$5,$D$5,$M$5,H$9,$F$5,$C11)</f>
        <v>653076.79096147476</v>
      </c>
      <c r="I11" s="68">
        <f>_xll.DBRW($E$1,$K$5,$D$5,$M$5,I$9,$F$5,$C11)</f>
        <v>633421.37545085023</v>
      </c>
      <c r="J11" s="68">
        <f>_xll.DBRW($E$1,$K$5,$D$5,$M$5,J$9,$F$5,$C11)</f>
        <v>539394.99250596447</v>
      </c>
      <c r="K11" s="68">
        <f>_xll.DBRW($E$1,$K$5,$D$5,$M$5,K$9,$F$5,$C11)</f>
        <v>534003.87515927618</v>
      </c>
      <c r="L11" s="68">
        <f>_xll.DBRW($E$1,$K$5,$D$5,$M$5,L$9,$F$5,$C11)</f>
        <v>501258.51431586803</v>
      </c>
      <c r="M11" s="68">
        <f>_xll.DBRW($E$1,$K$5,$D$5,$M$5,M$9,$F$5,$C11)</f>
        <v>448895.92809127347</v>
      </c>
      <c r="N11" s="68">
        <f>_xll.DBRW($E$1,$K$5,$D$5,$M$5,N$9,$F$5,$C11)</f>
        <v>584128.88317425421</v>
      </c>
      <c r="O11" s="68">
        <f>_xll.DBRW($E$1,$K$5,$D$5,$M$5,O$9,$F$5,$C11)</f>
        <v>748333.24335003842</v>
      </c>
      <c r="P11" s="68">
        <f>_xll.DBRW($E$1,$K$5,$D$5,$M$5,P$9,$F$5,$C11)</f>
        <v>733639.7676617651</v>
      </c>
      <c r="Q11" s="68">
        <f>_xll.DBRW($E$1,$K$5,$D$5,$M$5,Q$9,$F$5,$C11)</f>
        <v>7085021.7747495342</v>
      </c>
    </row>
    <row r="12" spans="1:17" x14ac:dyDescent="0.2">
      <c r="B12" s="73" t="str">
        <f>_xll.SUBNM("region06:Version","Current",_xll.DBR("region06:Calendar","Current Version","String"),"Caption_Default")</f>
        <v>Version1</v>
      </c>
      <c r="C12" s="73" t="s">
        <v>80</v>
      </c>
      <c r="D12" s="74" t="str">
        <f>_xll.SUBNM("region06:Version","Current",_xll.DBR("region06:Calendar","Current Version","String"),"Caption_Default")</f>
        <v>Version1</v>
      </c>
      <c r="E12" s="68">
        <f>_xll.DBRW($E$1,$K$5,$D$5,$M$5,E$9,$F$5,$B12)</f>
        <v>1519216.5039452654</v>
      </c>
      <c r="F12" s="68">
        <f>_xll.DBRW($E$1,$K$5,$D$5,$M$5,F$9,$F$5,$B12)</f>
        <v>9714163.2525881901</v>
      </c>
      <c r="G12" s="68">
        <f>_xll.DBRW($E$1,$K$5,$D$5,$M$5,G$9,$F$5,$B12)</f>
        <v>976291.84015917894</v>
      </c>
      <c r="H12" s="68">
        <f>_xll.DBRW($E$1,$K$5,$D$5,$M$5,H$9,$F$5,$B12)</f>
        <v>894887.03901207563</v>
      </c>
      <c r="I12" s="68">
        <f>_xll.DBRW($E$1,$K$5,$D$5,$M$5,I$9,$F$5,$B12)</f>
        <v>802150.82692976389</v>
      </c>
      <c r="J12" s="68">
        <f>_xll.DBRW($E$1,$K$5,$D$5,$M$5,J$9,$F$5,$B12)</f>
        <v>1040327.1658535167</v>
      </c>
      <c r="K12" s="68">
        <f>_xll.DBRW($E$1,$K$5,$D$5,$M$5,K$9,$F$5,$B12)</f>
        <v>3505016.7031266429</v>
      </c>
      <c r="L12" s="68">
        <f>_xll.DBRW($E$1,$K$5,$D$5,$M$5,L$9,$F$5,$B12)</f>
        <v>3206024.536048322</v>
      </c>
      <c r="M12" s="68">
        <f>_xll.DBRW($E$1,$K$5,$D$5,$M$5,M$9,$F$5,$B12)</f>
        <v>3019025.5399618512</v>
      </c>
      <c r="N12" s="68">
        <f>_xll.DBRW($E$1,$K$5,$D$5,$M$5,N$9,$F$5,$B12)</f>
        <v>1022896.292876634</v>
      </c>
      <c r="O12" s="68">
        <f>_xll.DBRW($E$1,$K$5,$D$5,$M$5,O$9,$F$5,$B12)</f>
        <v>999247.65984553122</v>
      </c>
      <c r="P12" s="68">
        <f>_xll.DBRW($E$1,$K$5,$D$5,$M$5,P$9,$F$5,$B12)</f>
        <v>955495.29065098532</v>
      </c>
      <c r="Q12" s="68">
        <f>_xll.DBRW($E$1,$K$5,$D$5,$M$5,Q$9,$F$5,$B12)</f>
        <v>27654742.650997963</v>
      </c>
    </row>
    <row r="13" spans="1:17" x14ac:dyDescent="0.2">
      <c r="B13" s="73" t="s">
        <v>73</v>
      </c>
      <c r="C13" s="73" t="s">
        <v>73</v>
      </c>
      <c r="D13" s="74" t="s">
        <v>73</v>
      </c>
      <c r="E13" s="68">
        <f>_xll.DBRW($E$1,$K$5,$D$5,$M$5,E$9,$F$5,$C13)</f>
        <v>458462.21983138006</v>
      </c>
      <c r="F13" s="68">
        <f>_xll.DBRW($E$1,$K$5,$D$5,$M$5,F$9,$F$5,$C13)</f>
        <v>547920.0559893212</v>
      </c>
      <c r="G13" s="68">
        <f>_xll.DBRW($E$1,$K$5,$D$5,$M$5,G$9,$F$5,$C13)</f>
        <v>702486.12825806753</v>
      </c>
      <c r="H13" s="68">
        <f>_xll.DBRW($E$1,$K$5,$D$5,$M$5,H$9,$F$5,$C13)</f>
        <v>653076.79096147476</v>
      </c>
      <c r="I13" s="68">
        <f>_xll.DBRW($E$1,$K$5,$D$5,$M$5,I$9,$F$5,$C13)</f>
        <v>633421.37545085023</v>
      </c>
      <c r="J13" s="68">
        <f>_xll.DBRW($E$1,$K$5,$D$5,$M$5,J$9,$F$5,$C13)</f>
        <v>539394.99250596447</v>
      </c>
      <c r="K13" s="68">
        <f>_xll.DBRW($E$1,$K$5,$D$5,$M$5,K$9,$F$5,$C13)</f>
        <v>6652729.961079454</v>
      </c>
      <c r="L13" s="68">
        <f>_xll.DBRW($E$1,$K$5,$D$5,$M$5,L$9,$F$5,$C13)</f>
        <v>6085225.0626646681</v>
      </c>
      <c r="M13" s="68">
        <f>_xll.DBRW($E$1,$K$5,$D$5,$M$5,M$9,$F$5,$C13)</f>
        <v>5730289.8571215719</v>
      </c>
      <c r="N13" s="68">
        <f>_xll.DBRW($E$1,$K$5,$D$5,$M$5,N$9,$F$5,$C13)</f>
        <v>1941517.9415912793</v>
      </c>
      <c r="O13" s="68">
        <f>_xll.DBRW($E$1,$K$5,$D$5,$M$5,O$9,$F$5,$C13)</f>
        <v>1896631.4309608901</v>
      </c>
      <c r="P13" s="68">
        <f>_xll.DBRW($E$1,$K$5,$D$5,$M$5,P$9,$F$5,$C13)</f>
        <v>1813586.8345830424</v>
      </c>
      <c r="Q13" s="68">
        <f>_xll.DBRW($E$1,$K$5,$D$5,$M$5,Q$9,$F$5,$C13)</f>
        <v>27654742.650997963</v>
      </c>
    </row>
    <row r="14" spans="1:17" x14ac:dyDescent="0.2">
      <c r="D14" s="74" t="s">
        <v>217</v>
      </c>
      <c r="E14" s="68">
        <f>E13-E12</f>
        <v>-1060754.2841138854</v>
      </c>
      <c r="F14" s="68">
        <f t="shared" ref="F14:Q14" si="1">F13-F12</f>
        <v>-9166243.1965988688</v>
      </c>
      <c r="G14" s="68">
        <f t="shared" si="1"/>
        <v>-273805.71190111141</v>
      </c>
      <c r="H14" s="68">
        <f t="shared" si="1"/>
        <v>-241810.24805060087</v>
      </c>
      <c r="I14" s="68">
        <f t="shared" si="1"/>
        <v>-168729.45147891366</v>
      </c>
      <c r="J14" s="68">
        <f t="shared" si="1"/>
        <v>-500932.17334755219</v>
      </c>
      <c r="K14" s="68">
        <f t="shared" si="1"/>
        <v>3147713.2579528112</v>
      </c>
      <c r="L14" s="68">
        <f t="shared" si="1"/>
        <v>2879200.5266163461</v>
      </c>
      <c r="M14" s="68">
        <f t="shared" si="1"/>
        <v>2711264.3171597207</v>
      </c>
      <c r="N14" s="68">
        <f t="shared" si="1"/>
        <v>918621.6487146453</v>
      </c>
      <c r="O14" s="68">
        <f t="shared" si="1"/>
        <v>897383.77111535892</v>
      </c>
      <c r="P14" s="68">
        <f t="shared" si="1"/>
        <v>858091.5439320571</v>
      </c>
      <c r="Q14" s="68">
        <f t="shared" si="1"/>
        <v>0</v>
      </c>
    </row>
  </sheetData>
  <mergeCells count="12">
    <mergeCell ref="D5:E5"/>
    <mergeCell ref="F5:H5"/>
    <mergeCell ref="D4:E4"/>
    <mergeCell ref="F4:H4"/>
    <mergeCell ref="O4:P4"/>
    <mergeCell ref="O5:P5"/>
    <mergeCell ref="M5:N5"/>
    <mergeCell ref="M4:N4"/>
    <mergeCell ref="I4:J4"/>
    <mergeCell ref="K4:L4"/>
    <mergeCell ref="I5:J5"/>
    <mergeCell ref="K5:L5"/>
  </mergeCells>
  <phoneticPr fontId="12" type="noConversion"/>
  <conditionalFormatting sqref="Q11:Q13">
    <cfRule type="expression" dxfId="2" priority="10" stopIfTrue="1">
      <formula>Q$8="A"</formula>
    </cfRule>
  </conditionalFormatting>
  <conditionalFormatting sqref="E10:P10">
    <cfRule type="expression" dxfId="1" priority="1">
      <formula>E7="F"</formula>
    </cfRule>
    <cfRule type="expression" dxfId="0" priority="2">
      <formula>E7="A"</formula>
    </cfRule>
  </conditionalFormatting>
  <dataValidations count="1">
    <dataValidation allowBlank="1" showInputMessage="1" showErrorMessage="1" error="The value you entered is not valid._x000a_A user has restricted values that can be entered into this cell." sqref="E8:P8" xr:uid="{00000000-0002-0000-0700-000000000000}"/>
  </dataValidation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"/>
  <dimension ref="A1:J20"/>
  <sheetViews>
    <sheetView showGridLines="0" workbookViewId="0">
      <pane ySplit="19" topLeftCell="A20" activePane="bottomLeft" state="frozen"/>
      <selection activeCell="B10" sqref="B10"/>
      <selection pane="bottomLeft"/>
    </sheetView>
  </sheetViews>
  <sheetFormatPr defaultRowHeight="14.25" x14ac:dyDescent="0.2"/>
  <cols>
    <col min="1" max="1" width="2.7109375" style="40" hidden="1" customWidth="1"/>
    <col min="2" max="2" width="1.28515625" style="40" customWidth="1"/>
    <col min="3" max="3" width="28.85546875" style="40" customWidth="1"/>
    <col min="4" max="8" width="12.42578125" style="40" customWidth="1"/>
    <col min="9" max="16384" width="9.140625" style="40"/>
  </cols>
  <sheetData>
    <row r="1" spans="1:8" ht="10.5" hidden="1" customHeight="1" x14ac:dyDescent="0.2">
      <c r="A1" s="40" t="s">
        <v>11</v>
      </c>
    </row>
    <row r="2" spans="1:8" hidden="1" x14ac:dyDescent="0.2">
      <c r="A2" s="40">
        <f>0</f>
        <v>0</v>
      </c>
      <c r="C2" s="105"/>
      <c r="D2" s="106"/>
      <c r="E2" s="106"/>
      <c r="F2" s="106"/>
      <c r="G2" s="106"/>
      <c r="H2" s="106"/>
    </row>
    <row r="3" spans="1:8" hidden="1" x14ac:dyDescent="0.2">
      <c r="A3" s="40">
        <f>1</f>
        <v>1</v>
      </c>
      <c r="C3" s="30"/>
      <c r="D3" s="37"/>
      <c r="E3" s="37"/>
      <c r="F3" s="37"/>
      <c r="G3" s="37"/>
      <c r="H3" s="37"/>
    </row>
    <row r="4" spans="1:8" hidden="1" x14ac:dyDescent="0.2">
      <c r="A4" s="40">
        <f>2</f>
        <v>2</v>
      </c>
      <c r="C4" s="78"/>
      <c r="D4" s="34"/>
      <c r="E4" s="34"/>
      <c r="F4" s="34"/>
      <c r="G4" s="34"/>
      <c r="H4" s="34"/>
    </row>
    <row r="5" spans="1:8" hidden="1" x14ac:dyDescent="0.2">
      <c r="A5" s="40">
        <f>3</f>
        <v>3</v>
      </c>
      <c r="C5" s="78"/>
      <c r="D5" s="34"/>
      <c r="E5" s="34"/>
      <c r="F5" s="34"/>
      <c r="G5" s="34"/>
      <c r="H5" s="34"/>
    </row>
    <row r="6" spans="1:8" hidden="1" x14ac:dyDescent="0.2">
      <c r="A6" s="40" t="s">
        <v>9</v>
      </c>
      <c r="C6" s="30"/>
      <c r="D6" s="68"/>
      <c r="E6" s="68"/>
      <c r="F6" s="68"/>
      <c r="G6" s="68"/>
      <c r="H6" s="68"/>
    </row>
    <row r="7" spans="1:8" hidden="1" x14ac:dyDescent="0.2">
      <c r="A7" s="40" t="s">
        <v>10</v>
      </c>
      <c r="C7" s="30"/>
      <c r="D7" s="68"/>
      <c r="E7" s="68"/>
      <c r="F7" s="68"/>
      <c r="G7" s="68"/>
      <c r="H7" s="68"/>
    </row>
    <row r="8" spans="1:8" hidden="1" x14ac:dyDescent="0.2">
      <c r="A8" s="40" t="s">
        <v>12</v>
      </c>
      <c r="G8" s="40">
        <f>VLOOKUP($D$16,Lookup!$D$2:$E$3,2,0)</f>
        <v>0</v>
      </c>
      <c r="H8" s="40" t="str">
        <f>IF(C16&lt;&gt;"","{TM1FILTERBYPATTERN( {TM1SUBSETALL( [Account] )}, """&amp;$C$16&amp;""")}","")</f>
        <v/>
      </c>
    </row>
    <row r="9" spans="1:8" ht="21.75" hidden="1" customHeight="1" x14ac:dyDescent="0.2">
      <c r="C9" s="40" t="str">
        <f>_xll.TM1RPTVIEW("region06:Income Statement:1", $G$8, _xll.TM1RPTTITLE("region06:Currency Calc",$D$13), _xll.TM1RPTTITLE("region06:organization",$C$13), _xll.TM1RPTTITLE("region06:Year",$F$13), _xll.TM1RPTTITLE("region06:Month",$G$13),TM1RPTFMTRNG,TM1RPTFMTIDCOL)</f>
        <v>region06:Income Statement:1</v>
      </c>
    </row>
    <row r="10" spans="1:8" ht="37.5" customHeight="1" thickBot="1" x14ac:dyDescent="0.25">
      <c r="A10" s="41"/>
      <c r="B10" s="129"/>
      <c r="C10" s="22" t="s">
        <v>74</v>
      </c>
      <c r="D10" s="22"/>
      <c r="E10" s="22"/>
      <c r="F10" s="22"/>
      <c r="G10" s="22"/>
      <c r="H10" s="22"/>
    </row>
    <row r="11" spans="1:8" ht="7.5" customHeight="1" x14ac:dyDescent="0.2"/>
    <row r="12" spans="1:8" s="42" customFormat="1" x14ac:dyDescent="0.25">
      <c r="C12" s="19" t="s">
        <v>23</v>
      </c>
      <c r="D12" s="136" t="s">
        <v>135</v>
      </c>
      <c r="E12" s="137"/>
      <c r="F12" s="19" t="s">
        <v>0</v>
      </c>
      <c r="G12" s="19" t="s">
        <v>54</v>
      </c>
      <c r="H12" s="19" t="s">
        <v>24</v>
      </c>
    </row>
    <row r="13" spans="1:8" s="42" customFormat="1" x14ac:dyDescent="0.25">
      <c r="C13" s="20" t="str">
        <f>_xll.SUBNM("region06:organization","Workflow","101","Caption_Default")</f>
        <v>Massachusetts</v>
      </c>
      <c r="D13" s="138" t="str">
        <f>_xll.SUBNM("region06:Currency Calc","Default","Base")</f>
        <v>Base</v>
      </c>
      <c r="E13" s="138"/>
      <c r="F13" s="20" t="str">
        <f>_xll.SUBNM("region06:Year","Default","Y2","Caption_Default")</f>
        <v>2021</v>
      </c>
      <c r="G13" s="20" t="str">
        <f>_xll.SUBNM("region06:Month","MY","Year")</f>
        <v>Year</v>
      </c>
      <c r="H13" s="20" t="str">
        <f>_xll.SUBNM("region06:OpExSubset_Picklist","Default","OpEx")</f>
        <v>OpEx</v>
      </c>
    </row>
    <row r="14" spans="1:8" s="42" customFormat="1" ht="7.5" customHeight="1" x14ac:dyDescent="0.25">
      <c r="C14" s="75"/>
      <c r="D14" s="75"/>
      <c r="E14" s="75"/>
      <c r="F14" s="75"/>
      <c r="G14" s="75"/>
      <c r="H14" s="75"/>
    </row>
    <row r="15" spans="1:8" s="42" customFormat="1" ht="15" customHeight="1" x14ac:dyDescent="0.25">
      <c r="C15" s="19" t="s">
        <v>26</v>
      </c>
      <c r="D15" s="136" t="s">
        <v>27</v>
      </c>
      <c r="E15" s="137"/>
      <c r="F15" s="19" t="s">
        <v>135</v>
      </c>
      <c r="G15" s="75"/>
      <c r="H15" s="75"/>
    </row>
    <row r="16" spans="1:8" s="42" customFormat="1" ht="15" customHeight="1" x14ac:dyDescent="0.25">
      <c r="C16" s="20"/>
      <c r="D16" s="138" t="s">
        <v>55</v>
      </c>
      <c r="E16" s="138"/>
      <c r="F16" s="20" t="str">
        <f>_xll.DBRW("region06:}ElementAttributes_organization",$C$13,"Currency")</f>
        <v>USD</v>
      </c>
      <c r="G16" s="75"/>
      <c r="H16" s="75"/>
    </row>
    <row r="17" spans="1:10" ht="7.5" customHeight="1" x14ac:dyDescent="0.2">
      <c r="C17" s="76"/>
      <c r="D17" s="76"/>
      <c r="E17" s="76"/>
      <c r="F17" s="76"/>
      <c r="G17" s="76"/>
      <c r="H17" s="76"/>
    </row>
    <row r="18" spans="1:10" ht="15" thickBot="1" x14ac:dyDescent="0.25">
      <c r="C18" s="21"/>
      <c r="D18" s="21" t="s">
        <v>56</v>
      </c>
      <c r="E18" s="21" t="str">
        <f>_xll.SUBNM("region06:Version","Current",_xll.DBR("region06:Calendar","Current Version","String"),"Caption_Default")</f>
        <v>Version1</v>
      </c>
      <c r="F18" s="21" t="s">
        <v>76</v>
      </c>
      <c r="G18" s="21" t="s">
        <v>77</v>
      </c>
      <c r="H18" s="21" t="s">
        <v>78</v>
      </c>
    </row>
    <row r="19" spans="1:10" hidden="1" x14ac:dyDescent="0.2">
      <c r="D19" s="48" t="s">
        <v>56</v>
      </c>
      <c r="E19" s="48" t="str">
        <f>_xll.SUBNM("region06:Version","Current",_xll.DBR("region06:Calendar","Current Version","String"),"Caption_Default")</f>
        <v>Version1</v>
      </c>
      <c r="F19" s="48" t="s">
        <v>81</v>
      </c>
      <c r="G19" s="48" t="s">
        <v>82</v>
      </c>
      <c r="H19" s="48" t="s">
        <v>58</v>
      </c>
    </row>
    <row r="20" spans="1:10" ht="15" thickTop="1" x14ac:dyDescent="0.2">
      <c r="A20" s="40" t="e">
        <f>IF(_xll.TM1RPTELISCONSOLIDATED($C$20,$C20),IF(_xll.TM1RPTELLEV($C$20,$C20)&lt;=3,_xll.TM1RPTELLEV($C$20,$C20),"D"),"N")</f>
        <v>#REF!</v>
      </c>
      <c r="C20" s="83" t="str">
        <f>_xll.TM1RPTROW($C$9,"region06:Account",$H$13,,"Caption_Default",1,$G$8)</f>
        <v/>
      </c>
      <c r="D20" s="37" t="e">
        <f>_xll.DBRW($C$9,$D$13,$C$13,$F$13,$G$13,$C20,D$19)</f>
        <v>#VALUE!</v>
      </c>
      <c r="E20" s="37" t="e">
        <f>_xll.DBRW($C$9,$D$13,$C$13,$F$13,$G$13,$C20,E$19)</f>
        <v>#VALUE!</v>
      </c>
      <c r="F20" s="37" t="e">
        <f>_xll.DBRW($C$9,$D$13,$C$13,$F$13,$G$13,$C20,$F$19)</f>
        <v>#VALUE!</v>
      </c>
      <c r="G20" s="37" t="e">
        <f>_xll.DBRW($C$9,$D$13,$C$13,$F$13,$G$13,$C20,$G$19)</f>
        <v>#VALUE!</v>
      </c>
      <c r="H20" s="37" t="e">
        <f>F20+G20</f>
        <v>#VALUE!</v>
      </c>
      <c r="J20" s="77"/>
    </row>
  </sheetData>
  <mergeCells count="4">
    <mergeCell ref="D16:E16"/>
    <mergeCell ref="D12:E12"/>
    <mergeCell ref="D13:E13"/>
    <mergeCell ref="D15:E15"/>
  </mergeCells>
  <phoneticPr fontId="12" type="noConversion"/>
  <dataValidations count="1">
    <dataValidation type="list" allowBlank="1" showInputMessage="1" showErrorMessage="1" sqref="D16" xr:uid="{00000000-0002-0000-0800-000000000000}">
      <formula1>SelectYesNo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N9"/>
  <sheetViews>
    <sheetView showGridLines="0" topLeftCell="A2" workbookViewId="0">
      <selection sqref="A1:B1"/>
    </sheetView>
  </sheetViews>
  <sheetFormatPr defaultRowHeight="14.25" x14ac:dyDescent="0.2"/>
  <cols>
    <col min="1" max="1" width="1.28515625" style="40" customWidth="1"/>
    <col min="2" max="2" width="18.7109375" style="40" bestFit="1" customWidth="1"/>
    <col min="3" max="14" width="6.140625" style="40" customWidth="1"/>
    <col min="15" max="16384" width="9.140625" style="40"/>
  </cols>
  <sheetData>
    <row r="1" spans="1:14" ht="15.75" hidden="1" x14ac:dyDescent="0.2">
      <c r="A1" s="139"/>
      <c r="B1" s="140" t="s">
        <v>61</v>
      </c>
      <c r="C1" s="139" t="e">
        <f>_xll.VIEW("region06:Exchange Rates",$C$5,$B$5,"!",$H$1,$F$5,"!")</f>
        <v>#VALUE!</v>
      </c>
      <c r="D1" s="140"/>
      <c r="E1" s="139"/>
      <c r="F1" s="140"/>
      <c r="G1" s="139" t="s">
        <v>236</v>
      </c>
      <c r="H1" s="140" t="e">
        <f>_xll.SUBNM("smartco:Exchange Rate","Default","ExchangeRate")</f>
        <v>#N/A</v>
      </c>
      <c r="I1" s="139"/>
      <c r="J1" s="140"/>
      <c r="K1" s="139"/>
      <c r="L1" s="140"/>
      <c r="M1" s="139"/>
      <c r="N1" s="140"/>
    </row>
    <row r="2" spans="1:14" ht="37.5" customHeight="1" x14ac:dyDescent="0.2">
      <c r="A2" s="129"/>
      <c r="B2" s="22" t="s">
        <v>238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ht="15" x14ac:dyDescent="0.25">
      <c r="G3" s="59"/>
    </row>
    <row r="4" spans="1:14" x14ac:dyDescent="0.2">
      <c r="B4" s="19" t="s">
        <v>0</v>
      </c>
      <c r="C4" s="136" t="s">
        <v>135</v>
      </c>
      <c r="D4" s="141"/>
      <c r="E4" s="137"/>
      <c r="F4" s="136" t="s">
        <v>237</v>
      </c>
      <c r="G4" s="141"/>
      <c r="H4" s="137"/>
    </row>
    <row r="5" spans="1:14" x14ac:dyDescent="0.2">
      <c r="B5" s="20" t="str">
        <f>_xll.SUBNM("region06:Year","Default","Y2","Caption_Default")</f>
        <v>2021</v>
      </c>
      <c r="C5" s="138" t="str">
        <f>_xll.SUBNM("region06:Currency","Default","USD")</f>
        <v>USD</v>
      </c>
      <c r="D5" s="138"/>
      <c r="E5" s="138"/>
      <c r="F5" s="138" t="str">
        <f>_xll.SUBNM("region06:Exchange Rate Type","Default","Average")</f>
        <v>Average</v>
      </c>
      <c r="G5" s="138"/>
      <c r="H5" s="138"/>
    </row>
    <row r="7" spans="1:14" ht="15" thickBot="1" x14ac:dyDescent="0.25">
      <c r="B7" s="24"/>
      <c r="C7" s="24" t="s">
        <v>30</v>
      </c>
      <c r="D7" s="24" t="s">
        <v>31</v>
      </c>
      <c r="E7" s="24" t="s">
        <v>32</v>
      </c>
      <c r="F7" s="24" t="s">
        <v>33</v>
      </c>
      <c r="G7" s="24" t="s">
        <v>34</v>
      </c>
      <c r="H7" s="24" t="s">
        <v>35</v>
      </c>
      <c r="I7" s="24" t="s">
        <v>36</v>
      </c>
      <c r="J7" s="24" t="s">
        <v>37</v>
      </c>
      <c r="K7" s="24" t="s">
        <v>38</v>
      </c>
      <c r="L7" s="24" t="s">
        <v>39</v>
      </c>
      <c r="M7" s="24" t="s">
        <v>40</v>
      </c>
      <c r="N7" s="24" t="s">
        <v>41</v>
      </c>
    </row>
    <row r="8" spans="1:14" ht="15" thickTop="1" x14ac:dyDescent="0.2">
      <c r="B8" s="30" t="s">
        <v>56</v>
      </c>
      <c r="C8" s="79" t="e">
        <f>_xll.DBRW($C$1,$C$5,$B$5,C$7,$H$1,$F$5,$B8)</f>
        <v>#VALUE!</v>
      </c>
      <c r="D8" s="79" t="e">
        <f>_xll.DBRW($C$1,$C$5,$B$5,D$7,$H$1,$F$5,$B8)</f>
        <v>#VALUE!</v>
      </c>
      <c r="E8" s="79" t="e">
        <f>_xll.DBRW($C$1,$C$5,$B$5,E$7,$H$1,$F$5,$B8)</f>
        <v>#VALUE!</v>
      </c>
      <c r="F8" s="79" t="e">
        <f>_xll.DBRW($C$1,$C$5,$B$5,F$7,$H$1,$F$5,$B8)</f>
        <v>#VALUE!</v>
      </c>
      <c r="G8" s="79" t="e">
        <f>_xll.DBRW($C$1,$C$5,$B$5,G$7,$H$1,$F$5,$B8)</f>
        <v>#VALUE!</v>
      </c>
      <c r="H8" s="79" t="e">
        <f>_xll.DBRW($C$1,$C$5,$B$5,H$7,$H$1,$F$5,$B8)</f>
        <v>#VALUE!</v>
      </c>
      <c r="I8" s="79" t="e">
        <f>_xll.DBRW($C$1,$C$5,$B$5,I$7,$H$1,$F$5,$B8)</f>
        <v>#VALUE!</v>
      </c>
      <c r="J8" s="79" t="e">
        <f>_xll.DBRW($C$1,$C$5,$B$5,J$7,$H$1,$F$5,$B8)</f>
        <v>#VALUE!</v>
      </c>
      <c r="K8" s="79" t="e">
        <f>_xll.DBRW($C$1,$C$5,$B$5,K$7,$H$1,$F$5,$B8)</f>
        <v>#VALUE!</v>
      </c>
      <c r="L8" s="79" t="e">
        <f>_xll.DBRW($C$1,$C$5,$B$5,L$7,$H$1,$F$5,$B8)</f>
        <v>#VALUE!</v>
      </c>
      <c r="M8" s="79" t="e">
        <f>_xll.DBRW($C$1,$C$5,$B$5,M$7,$H$1,$F$5,$B8)</f>
        <v>#VALUE!</v>
      </c>
      <c r="N8" s="79" t="e">
        <f>_xll.DBRW($C$1,$C$5,$B$5,N$7,$H$1,$F$5,$B8)</f>
        <v>#VALUE!</v>
      </c>
    </row>
    <row r="9" spans="1:14" x14ac:dyDescent="0.2">
      <c r="B9" s="30" t="str">
        <f>_xll.SUBNM("region06:Version","Current",_xll.DBR("region06:Calendar","Current Version","String"),"Caption_Default")</f>
        <v>Version1</v>
      </c>
      <c r="C9" s="79" t="e">
        <f>_xll.DBRW($C$1,$C$5,$B$5,C$7,$H$1,$F$5,$B9)</f>
        <v>#VALUE!</v>
      </c>
      <c r="D9" s="79" t="e">
        <f>_xll.DBRW($C$1,$C$5,$B$5,D$7,$H$1,$F$5,$B9)</f>
        <v>#VALUE!</v>
      </c>
      <c r="E9" s="79" t="e">
        <f>_xll.DBRW($C$1,$C$5,$B$5,E$7,$H$1,$F$5,$B9)</f>
        <v>#VALUE!</v>
      </c>
      <c r="F9" s="79" t="e">
        <f>_xll.DBRW($C$1,$C$5,$B$5,F$7,$H$1,$F$5,$B9)</f>
        <v>#VALUE!</v>
      </c>
      <c r="G9" s="79" t="e">
        <f>_xll.DBRW($C$1,$C$5,$B$5,G$7,$H$1,$F$5,$B9)</f>
        <v>#VALUE!</v>
      </c>
      <c r="H9" s="79" t="e">
        <f>_xll.DBRW($C$1,$C$5,$B$5,H$7,$H$1,$F$5,$B9)</f>
        <v>#VALUE!</v>
      </c>
      <c r="I9" s="79" t="e">
        <f>_xll.DBRW($C$1,$C$5,$B$5,I$7,$H$1,$F$5,$B9)</f>
        <v>#VALUE!</v>
      </c>
      <c r="J9" s="79" t="e">
        <f>_xll.DBRW($C$1,$C$5,$B$5,J$7,$H$1,$F$5,$B9)</f>
        <v>#VALUE!</v>
      </c>
      <c r="K9" s="79" t="e">
        <f>_xll.DBRW($C$1,$C$5,$B$5,K$7,$H$1,$F$5,$B9)</f>
        <v>#VALUE!</v>
      </c>
      <c r="L9" s="79" t="e">
        <f>_xll.DBRW($C$1,$C$5,$B$5,L$7,$H$1,$F$5,$B9)</f>
        <v>#VALUE!</v>
      </c>
      <c r="M9" s="79" t="e">
        <f>_xll.DBRW($C$1,$C$5,$B$5,M$7,$H$1,$F$5,$B9)</f>
        <v>#VALUE!</v>
      </c>
      <c r="N9" s="79" t="e">
        <f>_xll.DBRW($C$1,$C$5,$B$5,N$7,$H$1,$F$5,$B9)</f>
        <v>#VALUE!</v>
      </c>
    </row>
  </sheetData>
  <mergeCells count="11">
    <mergeCell ref="C4:E4"/>
    <mergeCell ref="C5:E5"/>
    <mergeCell ref="A1:B1"/>
    <mergeCell ref="C1:D1"/>
    <mergeCell ref="E1:F1"/>
    <mergeCell ref="I1:J1"/>
    <mergeCell ref="K1:L1"/>
    <mergeCell ref="M1:N1"/>
    <mergeCell ref="F4:H4"/>
    <mergeCell ref="F5:H5"/>
    <mergeCell ref="G1:H1"/>
  </mergeCells>
  <phoneticPr fontId="12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5"/>
  <dimension ref="A1:A43"/>
  <sheetViews>
    <sheetView workbookViewId="0"/>
  </sheetViews>
  <sheetFormatPr defaultRowHeight="15" x14ac:dyDescent="0.25"/>
  <sheetData>
    <row r="1" spans="1:1" x14ac:dyDescent="0.25">
      <c r="A1" t="s">
        <v>30</v>
      </c>
    </row>
    <row r="2" spans="1:1" x14ac:dyDescent="0.25">
      <c r="A2" t="s">
        <v>31</v>
      </c>
    </row>
    <row r="3" spans="1:1" x14ac:dyDescent="0.25">
      <c r="A3" t="s">
        <v>32</v>
      </c>
    </row>
    <row r="4" spans="1:1" x14ac:dyDescent="0.25">
      <c r="A4" t="s">
        <v>33</v>
      </c>
    </row>
    <row r="5" spans="1:1" x14ac:dyDescent="0.25">
      <c r="A5" t="s">
        <v>34</v>
      </c>
    </row>
    <row r="6" spans="1:1" x14ac:dyDescent="0.25">
      <c r="A6" t="s">
        <v>35</v>
      </c>
    </row>
    <row r="7" spans="1:1" x14ac:dyDescent="0.25">
      <c r="A7" t="s">
        <v>36</v>
      </c>
    </row>
    <row r="8" spans="1:1" x14ac:dyDescent="0.25">
      <c r="A8" t="s">
        <v>37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40</v>
      </c>
    </row>
    <row r="12" spans="1:1" x14ac:dyDescent="0.25">
      <c r="A12" t="s">
        <v>41</v>
      </c>
    </row>
    <row r="13" spans="1:1" x14ac:dyDescent="0.25">
      <c r="A13" t="s">
        <v>239</v>
      </c>
    </row>
    <row r="14" spans="1:1" x14ac:dyDescent="0.25">
      <c r="A14" t="s">
        <v>240</v>
      </c>
    </row>
    <row r="15" spans="1:1" x14ac:dyDescent="0.25">
      <c r="A15" t="s">
        <v>241</v>
      </c>
    </row>
    <row r="16" spans="1:1" x14ac:dyDescent="0.25">
      <c r="A16" t="s">
        <v>45</v>
      </c>
    </row>
    <row r="17" spans="1:1" x14ac:dyDescent="0.25">
      <c r="A17" t="s">
        <v>83</v>
      </c>
    </row>
    <row r="18" spans="1:1" x14ac:dyDescent="0.25">
      <c r="A18" t="s">
        <v>84</v>
      </c>
    </row>
    <row r="19" spans="1:1" x14ac:dyDescent="0.25">
      <c r="A19" t="s">
        <v>85</v>
      </c>
    </row>
    <row r="20" spans="1:1" x14ac:dyDescent="0.25">
      <c r="A20" t="s">
        <v>86</v>
      </c>
    </row>
    <row r="21" spans="1:1" x14ac:dyDescent="0.25">
      <c r="A21" t="s">
        <v>87</v>
      </c>
    </row>
    <row r="22" spans="1:1" x14ac:dyDescent="0.25">
      <c r="A22" t="s">
        <v>88</v>
      </c>
    </row>
    <row r="23" spans="1:1" x14ac:dyDescent="0.25">
      <c r="A23" t="s">
        <v>46</v>
      </c>
    </row>
    <row r="24" spans="1:1" x14ac:dyDescent="0.25">
      <c r="A24" t="s">
        <v>104</v>
      </c>
    </row>
    <row r="25" spans="1:1" x14ac:dyDescent="0.25">
      <c r="A25" t="s">
        <v>105</v>
      </c>
    </row>
    <row r="26" spans="1:1" x14ac:dyDescent="0.25">
      <c r="A26" t="s">
        <v>106</v>
      </c>
    </row>
    <row r="27" spans="1:1" x14ac:dyDescent="0.25">
      <c r="A27" t="s">
        <v>107</v>
      </c>
    </row>
    <row r="28" spans="1:1" x14ac:dyDescent="0.25">
      <c r="A28" t="s">
        <v>47</v>
      </c>
    </row>
    <row r="29" spans="1:1" x14ac:dyDescent="0.25">
      <c r="A29" t="s">
        <v>108</v>
      </c>
    </row>
    <row r="30" spans="1:1" x14ac:dyDescent="0.25">
      <c r="A30" t="s">
        <v>109</v>
      </c>
    </row>
    <row r="31" spans="1:1" x14ac:dyDescent="0.25">
      <c r="A31" t="s">
        <v>110</v>
      </c>
    </row>
    <row r="32" spans="1:1" x14ac:dyDescent="0.25">
      <c r="A32" t="s">
        <v>48</v>
      </c>
    </row>
    <row r="33" spans="1:1" x14ac:dyDescent="0.25">
      <c r="A33" t="s">
        <v>111</v>
      </c>
    </row>
    <row r="34" spans="1:1" x14ac:dyDescent="0.25">
      <c r="A34" t="s">
        <v>112</v>
      </c>
    </row>
    <row r="35" spans="1:1" x14ac:dyDescent="0.25">
      <c r="A35" t="s">
        <v>49</v>
      </c>
    </row>
    <row r="36" spans="1:1" x14ac:dyDescent="0.25">
      <c r="A36" t="s">
        <v>52</v>
      </c>
    </row>
    <row r="37" spans="1:1" x14ac:dyDescent="0.25">
      <c r="A37" t="s">
        <v>113</v>
      </c>
    </row>
    <row r="38" spans="1:1" x14ac:dyDescent="0.25">
      <c r="A38" t="s">
        <v>114</v>
      </c>
    </row>
    <row r="39" spans="1:1" x14ac:dyDescent="0.25">
      <c r="A39" t="s">
        <v>118</v>
      </c>
    </row>
    <row r="40" spans="1:1" x14ac:dyDescent="0.25">
      <c r="A40" t="s">
        <v>119</v>
      </c>
    </row>
    <row r="41" spans="1:1" x14ac:dyDescent="0.25">
      <c r="A41" t="s">
        <v>121</v>
      </c>
    </row>
    <row r="42" spans="1:1" x14ac:dyDescent="0.25">
      <c r="A42" t="s">
        <v>120</v>
      </c>
    </row>
    <row r="43" spans="1:1" x14ac:dyDescent="0.25">
      <c r="A43" t="s">
        <v>122</v>
      </c>
    </row>
  </sheetData>
  <phoneticPr fontId="1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15"/>
  <sheetViews>
    <sheetView workbookViewId="0"/>
  </sheetViews>
  <sheetFormatPr defaultRowHeight="15" x14ac:dyDescent="0.25"/>
  <cols>
    <col min="1" max="1" width="17" customWidth="1"/>
  </cols>
  <sheetData>
    <row r="1" spans="1:8" x14ac:dyDescent="0.25">
      <c r="A1" s="17" t="s">
        <v>89</v>
      </c>
      <c r="B1" s="17" t="s">
        <v>90</v>
      </c>
      <c r="C1" s="18"/>
      <c r="D1" s="17" t="s">
        <v>91</v>
      </c>
      <c r="E1" s="18"/>
      <c r="F1" s="18"/>
      <c r="G1" s="17" t="s">
        <v>92</v>
      </c>
      <c r="H1" s="18"/>
    </row>
    <row r="2" spans="1:8" x14ac:dyDescent="0.25">
      <c r="A2" s="18" t="s">
        <v>25</v>
      </c>
      <c r="B2" s="18" t="s">
        <v>93</v>
      </c>
      <c r="C2" s="18"/>
      <c r="D2" s="18" t="s">
        <v>28</v>
      </c>
      <c r="E2" s="18">
        <v>1</v>
      </c>
      <c r="F2" s="18"/>
      <c r="G2" s="18" t="s">
        <v>80</v>
      </c>
      <c r="H2" s="18"/>
    </row>
    <row r="3" spans="1:8" x14ac:dyDescent="0.25">
      <c r="A3" s="18" t="s">
        <v>94</v>
      </c>
      <c r="B3" s="18" t="s">
        <v>62</v>
      </c>
      <c r="C3" s="18"/>
      <c r="D3" s="18" t="s">
        <v>55</v>
      </c>
      <c r="E3" s="18">
        <v>0</v>
      </c>
      <c r="F3" s="18"/>
      <c r="G3" s="18" t="s">
        <v>95</v>
      </c>
      <c r="H3" s="18"/>
    </row>
    <row r="4" spans="1:8" x14ac:dyDescent="0.25">
      <c r="A4" s="18" t="s">
        <v>96</v>
      </c>
      <c r="B4" s="18"/>
      <c r="C4" s="18"/>
      <c r="D4" s="18"/>
      <c r="E4" s="18"/>
      <c r="F4" s="18"/>
      <c r="G4" s="18" t="s">
        <v>97</v>
      </c>
      <c r="H4" s="18"/>
    </row>
    <row r="5" spans="1:8" x14ac:dyDescent="0.25">
      <c r="A5" s="18" t="s">
        <v>98</v>
      </c>
      <c r="B5" s="18"/>
      <c r="C5" s="18"/>
      <c r="D5" s="18"/>
      <c r="E5" s="18"/>
      <c r="F5" s="18"/>
      <c r="G5" s="18"/>
      <c r="H5" s="18" t="s">
        <v>99</v>
      </c>
    </row>
    <row r="6" spans="1:8" x14ac:dyDescent="0.25">
      <c r="A6" s="18" t="s">
        <v>75</v>
      </c>
      <c r="B6" s="18"/>
      <c r="C6" s="18"/>
      <c r="D6" s="18"/>
      <c r="E6" s="18"/>
      <c r="F6" s="18"/>
      <c r="G6" s="18"/>
      <c r="H6" s="18"/>
    </row>
    <row r="7" spans="1:8" x14ac:dyDescent="0.25">
      <c r="A7" s="18" t="s">
        <v>100</v>
      </c>
      <c r="B7" s="18"/>
      <c r="C7" s="18"/>
      <c r="D7" s="18"/>
      <c r="E7" s="18"/>
      <c r="F7" s="18"/>
      <c r="G7" s="18"/>
      <c r="H7" s="18" t="s">
        <v>99</v>
      </c>
    </row>
    <row r="8" spans="1:8" x14ac:dyDescent="0.25">
      <c r="A8" s="18" t="s">
        <v>101</v>
      </c>
      <c r="B8" s="18"/>
      <c r="C8" s="18"/>
      <c r="D8" s="18"/>
      <c r="E8" s="18"/>
      <c r="F8" s="18"/>
      <c r="G8" s="18"/>
      <c r="H8" s="18" t="s">
        <v>99</v>
      </c>
    </row>
    <row r="9" spans="1:8" x14ac:dyDescent="0.25">
      <c r="A9" s="18" t="s">
        <v>102</v>
      </c>
      <c r="B9" s="18"/>
      <c r="C9" s="18"/>
      <c r="D9" s="18"/>
      <c r="E9" s="18"/>
      <c r="F9" s="18"/>
      <c r="G9" s="18"/>
      <c r="H9" s="18" t="s">
        <v>99</v>
      </c>
    </row>
    <row r="10" spans="1:8" x14ac:dyDescent="0.25">
      <c r="A10" s="18" t="s">
        <v>103</v>
      </c>
      <c r="B10" s="18"/>
      <c r="C10" s="18"/>
      <c r="D10" s="18"/>
      <c r="E10" s="18"/>
      <c r="F10" s="18"/>
      <c r="G10" s="18"/>
      <c r="H10" s="18" t="s">
        <v>99</v>
      </c>
    </row>
    <row r="11" spans="1:8" x14ac:dyDescent="0.25">
      <c r="H11" t="s">
        <v>99</v>
      </c>
    </row>
    <row r="15" spans="1:8" x14ac:dyDescent="0.25">
      <c r="H15" t="s">
        <v>99</v>
      </c>
    </row>
  </sheetData>
  <phoneticPr fontId="12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B1:Q19"/>
  <sheetViews>
    <sheetView showGridLines="0" topLeftCell="A2" workbookViewId="0"/>
  </sheetViews>
  <sheetFormatPr defaultRowHeight="15" x14ac:dyDescent="0.25"/>
  <cols>
    <col min="1" max="1" width="1.42578125" customWidth="1"/>
    <col min="2" max="2" width="17.140625" customWidth="1"/>
    <col min="3" max="3" width="13.140625" customWidth="1"/>
    <col min="4" max="4" width="12.42578125" customWidth="1"/>
    <col min="5" max="5" width="11.28515625" bestFit="1" customWidth="1"/>
    <col min="6" max="6" width="7.140625" customWidth="1"/>
    <col min="7" max="7" width="17.28515625" bestFit="1" customWidth="1"/>
    <col min="8" max="8" width="14.140625" bestFit="1" customWidth="1"/>
    <col min="9" max="9" width="12.5703125" bestFit="1" customWidth="1"/>
    <col min="10" max="10" width="18.85546875" bestFit="1" customWidth="1"/>
    <col min="11" max="11" width="16" bestFit="1" customWidth="1"/>
  </cols>
  <sheetData>
    <row r="1" spans="2:17" hidden="1" x14ac:dyDescent="0.25">
      <c r="B1" t="s">
        <v>61</v>
      </c>
      <c r="C1" t="e">
        <f>_xll.VIEW("smartco:Allocation Calculation",$B$6,"!",$F$6,$D$6,$H$6,"!")</f>
        <v>#VALUE!</v>
      </c>
    </row>
    <row r="2" spans="2:17" ht="33.75" customHeight="1" x14ac:dyDescent="0.25">
      <c r="C2" s="3"/>
      <c r="F2" s="4" t="s">
        <v>22</v>
      </c>
      <c r="P2" s="5"/>
    </row>
    <row r="3" spans="2:17" ht="2.25" customHeight="1" thickBot="1" x14ac:dyDescent="0.3">
      <c r="B3" s="6"/>
      <c r="C3" s="6"/>
      <c r="D3" s="6"/>
      <c r="E3" s="6"/>
      <c r="F3" s="6"/>
      <c r="G3" s="6"/>
      <c r="H3" s="6"/>
      <c r="I3" s="6"/>
      <c r="J3" s="6"/>
      <c r="K3" s="6"/>
      <c r="P3" s="5"/>
    </row>
    <row r="4" spans="2:17" ht="7.5" customHeight="1" x14ac:dyDescent="0.25">
      <c r="Q4" s="5"/>
    </row>
    <row r="5" spans="2:17" x14ac:dyDescent="0.25">
      <c r="B5" s="142" t="s">
        <v>23</v>
      </c>
      <c r="C5" s="143"/>
      <c r="D5" s="142" t="s">
        <v>54</v>
      </c>
      <c r="E5" s="143"/>
      <c r="F5" s="142" t="s">
        <v>0</v>
      </c>
      <c r="G5" s="143"/>
      <c r="H5" s="142" t="s">
        <v>1</v>
      </c>
      <c r="I5" s="143"/>
    </row>
    <row r="6" spans="2:17" x14ac:dyDescent="0.25">
      <c r="B6" s="144" t="e">
        <f>_xll.SUBNM("smartco:organization","Default","100","Caption_Base")</f>
        <v>#N/A</v>
      </c>
      <c r="C6" s="144"/>
      <c r="D6" s="144" t="e">
        <f>_xll.SUBNM("smartco:Month","Default","Year")</f>
        <v>#N/A</v>
      </c>
      <c r="E6" s="144"/>
      <c r="F6" s="144" t="e">
        <f>_xll.SUBNM("smartco:Year","Default","Y2","Caption_Default")</f>
        <v>#N/A</v>
      </c>
      <c r="G6" s="144"/>
      <c r="H6" s="144" t="e">
        <f>_xll.SUBNM("smartco:Version","",_xll.DBR("smartco:Calendar","Current Version","String"),"Caption_Default")</f>
        <v>#VALUE!</v>
      </c>
      <c r="I6" s="144" t="e">
        <f>_xll.SUBNM("smartco:Version","",_xll.DBR("smartco:Calendar","Current Version","String"),"Caption_Default")</f>
        <v>#VALUE!</v>
      </c>
    </row>
    <row r="7" spans="2:17" ht="7.5" customHeight="1" x14ac:dyDescent="0.25"/>
    <row r="8" spans="2:17" ht="29.25" customHeight="1" x14ac:dyDescent="0.25">
      <c r="C8" s="8" t="s">
        <v>7</v>
      </c>
      <c r="D8" s="8" t="s">
        <v>62</v>
      </c>
      <c r="E8" s="8" t="s">
        <v>63</v>
      </c>
      <c r="F8" s="8" t="s">
        <v>64</v>
      </c>
      <c r="G8" s="8" t="s">
        <v>65</v>
      </c>
      <c r="H8" s="8" t="s">
        <v>66</v>
      </c>
      <c r="I8" s="8" t="s">
        <v>2</v>
      </c>
      <c r="J8" s="8" t="s">
        <v>4</v>
      </c>
      <c r="K8" s="8" t="s">
        <v>8</v>
      </c>
    </row>
    <row r="9" spans="2:17" x14ac:dyDescent="0.25">
      <c r="B9" s="7" t="s">
        <v>67</v>
      </c>
      <c r="C9" s="1" t="e">
        <f>_xll.DBRW($C$1,$B$6,$B9,$F$6,$D$6,$H$6,C$8)</f>
        <v>#VALUE!</v>
      </c>
      <c r="D9" s="1" t="e">
        <f>_xll.DBRW($C$1,$B$6,$B9,$F$6,$D$6,$H$6,D$8)</f>
        <v>#VALUE!</v>
      </c>
      <c r="E9" s="1" t="e">
        <f>_xll.DBRW($C$1,$B$6,$B9,$F$6,$D$6,$H$6,E$8)</f>
        <v>#VALUE!</v>
      </c>
      <c r="F9" s="9" t="e">
        <f>_xll.DBRW($C$1,$B$6,$B9,$F$6,$D$6,$H$6,F$8)</f>
        <v>#VALUE!</v>
      </c>
      <c r="G9" s="1" t="e">
        <f>_xll.DBRW($C$1,$B$6,$B9,$F$6,$D$6,$H$6,G$8)</f>
        <v>#VALUE!</v>
      </c>
      <c r="H9" s="1" t="e">
        <f>_xll.DBRW($C$1,$B$6,$B9,$F$6,$D$6,$H$6,H$8)</f>
        <v>#VALUE!</v>
      </c>
      <c r="I9" s="1" t="e">
        <f>_xll.DBRW($C$1,$B$6,$B9,$F$6,$D$6,$H$6,I$8)</f>
        <v>#VALUE!</v>
      </c>
      <c r="J9" s="1" t="e">
        <f>_xll.DBRW($C$1,$B$6,$B9,$F$6,$D$6,$H$6,J$8)</f>
        <v>#VALUE!</v>
      </c>
      <c r="K9" s="1" t="e">
        <f>_xll.DBRW($C$1,$B$6,$B9,$F$6,$D$6,$H$6,K$8)</f>
        <v>#VALUE!</v>
      </c>
    </row>
    <row r="10" spans="2:17" x14ac:dyDescent="0.25">
      <c r="B10" s="10" t="s">
        <v>68</v>
      </c>
      <c r="C10" s="2" t="e">
        <f>_xll.DBRW($C$1,$B$6,$B10,$F$6,$D$6,$H$6,C$8)</f>
        <v>#VALUE!</v>
      </c>
      <c r="D10" s="2" t="e">
        <f>_xll.DBRW($C$1,$B$6,$B10,$F$6,$D$6,$H$6,D$8)</f>
        <v>#VALUE!</v>
      </c>
      <c r="E10" s="2" t="e">
        <f>_xll.DBRW($C$1,$B$6,$B10,$F$6,$D$6,$H$6,E$8)</f>
        <v>#VALUE!</v>
      </c>
      <c r="F10" s="11" t="e">
        <f>_xll.DBRW($C$1,$B$6,$B10,$F$6,$D$6,$H$6,F$8)</f>
        <v>#VALUE!</v>
      </c>
      <c r="G10" s="2" t="e">
        <f>_xll.DBRW($C$1,$B$6,$B10,$F$6,$D$6,$H$6,G$8)</f>
        <v>#VALUE!</v>
      </c>
      <c r="H10" s="2" t="e">
        <f>_xll.DBRW($C$1,$B$6,$B10,$F$6,$D$6,$H$6,H$8)</f>
        <v>#VALUE!</v>
      </c>
      <c r="I10" s="2" t="e">
        <f>_xll.DBRW($C$1,$B$6,$B10,$F$6,$D$6,$H$6,I$8)</f>
        <v>#VALUE!</v>
      </c>
      <c r="J10" s="2" t="e">
        <f>_xll.DBRW($C$1,$B$6,$B10,$F$6,$D$6,$H$6,J$8)</f>
        <v>#VALUE!</v>
      </c>
      <c r="K10" s="2" t="e">
        <f>_xll.DBRW($C$1,$B$6,$B10,$F$6,$D$6,$H$6,K$8)</f>
        <v>#VALUE!</v>
      </c>
    </row>
    <row r="11" spans="2:17" x14ac:dyDescent="0.25">
      <c r="B11" s="10" t="s">
        <v>13</v>
      </c>
      <c r="C11" s="2" t="e">
        <f>_xll.DBRW($C$1,$B$6,$B11,$F$6,$D$6,$H$6,C$8)</f>
        <v>#VALUE!</v>
      </c>
      <c r="D11" s="2" t="e">
        <f>_xll.DBRW($C$1,$B$6,$B11,$F$6,$D$6,$H$6,D$8)</f>
        <v>#VALUE!</v>
      </c>
      <c r="E11" s="2" t="e">
        <f>_xll.DBRW($C$1,$B$6,$B11,$F$6,$D$6,$H$6,E$8)</f>
        <v>#VALUE!</v>
      </c>
      <c r="F11" s="11" t="e">
        <f>_xll.DBRW($C$1,$B$6,$B11,$F$6,$D$6,$H$6,F$8)</f>
        <v>#VALUE!</v>
      </c>
      <c r="G11" s="2" t="e">
        <f>_xll.DBRW($C$1,$B$6,$B11,$F$6,$D$6,$H$6,G$8)</f>
        <v>#VALUE!</v>
      </c>
      <c r="H11" s="2" t="e">
        <f>_xll.DBRW($C$1,$B$6,$B11,$F$6,$D$6,$H$6,H$8)</f>
        <v>#VALUE!</v>
      </c>
      <c r="I11" s="2" t="e">
        <f>_xll.DBRW($C$1,$B$6,$B11,$F$6,$D$6,$H$6,I$8)</f>
        <v>#VALUE!</v>
      </c>
      <c r="J11" s="2" t="e">
        <f>_xll.DBRW($C$1,$B$6,$B11,$F$6,$D$6,$H$6,J$8)</f>
        <v>#VALUE!</v>
      </c>
      <c r="K11" s="2" t="e">
        <f>_xll.DBRW($C$1,$B$6,$B11,$F$6,$D$6,$H$6,K$8)</f>
        <v>#VALUE!</v>
      </c>
    </row>
    <row r="12" spans="2:17" x14ac:dyDescent="0.25">
      <c r="B12" s="10" t="s">
        <v>14</v>
      </c>
      <c r="C12" s="2" t="e">
        <f>_xll.DBRW($C$1,$B$6,$B12,$F$6,$D$6,$H$6,C$8)</f>
        <v>#VALUE!</v>
      </c>
      <c r="D12" s="2" t="e">
        <f>_xll.DBRW($C$1,$B$6,$B12,$F$6,$D$6,$H$6,D$8)</f>
        <v>#VALUE!</v>
      </c>
      <c r="E12" s="2" t="e">
        <f>_xll.DBRW($C$1,$B$6,$B12,$F$6,$D$6,$H$6,E$8)</f>
        <v>#VALUE!</v>
      </c>
      <c r="F12" s="11" t="e">
        <f>_xll.DBRW($C$1,$B$6,$B12,$F$6,$D$6,$H$6,F$8)</f>
        <v>#VALUE!</v>
      </c>
      <c r="G12" s="2" t="e">
        <f>_xll.DBRW($C$1,$B$6,$B12,$F$6,$D$6,$H$6,G$8)</f>
        <v>#VALUE!</v>
      </c>
      <c r="H12" s="2" t="e">
        <f>_xll.DBRW($C$1,$B$6,$B12,$F$6,$D$6,$H$6,H$8)</f>
        <v>#VALUE!</v>
      </c>
      <c r="I12" s="2" t="e">
        <f>_xll.DBRW($C$1,$B$6,$B12,$F$6,$D$6,$H$6,I$8)</f>
        <v>#VALUE!</v>
      </c>
      <c r="J12" s="2" t="e">
        <f>_xll.DBRW($C$1,$B$6,$B12,$F$6,$D$6,$H$6,J$8)</f>
        <v>#VALUE!</v>
      </c>
      <c r="K12" s="2" t="e">
        <f>_xll.DBRW($C$1,$B$6,$B12,$F$6,$D$6,$H$6,K$8)</f>
        <v>#VALUE!</v>
      </c>
    </row>
    <row r="13" spans="2:17" x14ac:dyDescent="0.25">
      <c r="B13" s="10" t="s">
        <v>15</v>
      </c>
      <c r="C13" s="2" t="e">
        <f>_xll.DBRW($C$1,$B$6,$B13,$F$6,$D$6,$H$6,C$8)</f>
        <v>#VALUE!</v>
      </c>
      <c r="D13" s="2" t="e">
        <f>_xll.DBRW($C$1,$B$6,$B13,$F$6,$D$6,$H$6,D$8)</f>
        <v>#VALUE!</v>
      </c>
      <c r="E13" s="2" t="e">
        <f>_xll.DBRW($C$1,$B$6,$B13,$F$6,$D$6,$H$6,E$8)</f>
        <v>#VALUE!</v>
      </c>
      <c r="F13" s="11" t="e">
        <f>_xll.DBRW($C$1,$B$6,$B13,$F$6,$D$6,$H$6,F$8)</f>
        <v>#VALUE!</v>
      </c>
      <c r="G13" s="2" t="e">
        <f>_xll.DBRW($C$1,$B$6,$B13,$F$6,$D$6,$H$6,G$8)</f>
        <v>#VALUE!</v>
      </c>
      <c r="H13" s="2" t="e">
        <f>_xll.DBRW($C$1,$B$6,$B13,$F$6,$D$6,$H$6,H$8)</f>
        <v>#VALUE!</v>
      </c>
      <c r="I13" s="2" t="e">
        <f>_xll.DBRW($C$1,$B$6,$B13,$F$6,$D$6,$H$6,I$8)</f>
        <v>#VALUE!</v>
      </c>
      <c r="J13" s="2" t="e">
        <f>_xll.DBRW($C$1,$B$6,$B13,$F$6,$D$6,$H$6,J$8)</f>
        <v>#VALUE!</v>
      </c>
      <c r="K13" s="2" t="e">
        <f>_xll.DBRW($C$1,$B$6,$B13,$F$6,$D$6,$H$6,K$8)</f>
        <v>#VALUE!</v>
      </c>
    </row>
    <row r="14" spans="2:17" x14ac:dyDescent="0.25">
      <c r="B14" s="10" t="s">
        <v>16</v>
      </c>
      <c r="C14" s="2" t="e">
        <f>_xll.DBRW($C$1,$B$6,$B14,$F$6,$D$6,$H$6,C$8)</f>
        <v>#VALUE!</v>
      </c>
      <c r="D14" s="2" t="e">
        <f>_xll.DBRW($C$1,$B$6,$B14,$F$6,$D$6,$H$6,D$8)</f>
        <v>#VALUE!</v>
      </c>
      <c r="E14" s="2" t="e">
        <f>_xll.DBRW($C$1,$B$6,$B14,$F$6,$D$6,$H$6,E$8)</f>
        <v>#VALUE!</v>
      </c>
      <c r="F14" s="11" t="e">
        <f>_xll.DBRW($C$1,$B$6,$B14,$F$6,$D$6,$H$6,F$8)</f>
        <v>#VALUE!</v>
      </c>
      <c r="G14" s="2" t="e">
        <f>_xll.DBRW($C$1,$B$6,$B14,$F$6,$D$6,$H$6,G$8)</f>
        <v>#VALUE!</v>
      </c>
      <c r="H14" s="2" t="e">
        <f>_xll.DBRW($C$1,$B$6,$B14,$F$6,$D$6,$H$6,H$8)</f>
        <v>#VALUE!</v>
      </c>
      <c r="I14" s="2" t="e">
        <f>_xll.DBRW($C$1,$B$6,$B14,$F$6,$D$6,$H$6,I$8)</f>
        <v>#VALUE!</v>
      </c>
      <c r="J14" s="2" t="e">
        <f>_xll.DBRW($C$1,$B$6,$B14,$F$6,$D$6,$H$6,J$8)</f>
        <v>#VALUE!</v>
      </c>
      <c r="K14" s="2" t="e">
        <f>_xll.DBRW($C$1,$B$6,$B14,$F$6,$D$6,$H$6,K$8)</f>
        <v>#VALUE!</v>
      </c>
    </row>
    <row r="15" spans="2:17" x14ac:dyDescent="0.25">
      <c r="B15" s="10" t="s">
        <v>17</v>
      </c>
      <c r="C15" s="2" t="e">
        <f>_xll.DBRW($C$1,$B$6,$B15,$F$6,$D$6,$H$6,C$8)</f>
        <v>#VALUE!</v>
      </c>
      <c r="D15" s="2" t="e">
        <f>_xll.DBRW($C$1,$B$6,$B15,$F$6,$D$6,$H$6,D$8)</f>
        <v>#VALUE!</v>
      </c>
      <c r="E15" s="2" t="e">
        <f>_xll.DBRW($C$1,$B$6,$B15,$F$6,$D$6,$H$6,E$8)</f>
        <v>#VALUE!</v>
      </c>
      <c r="F15" s="11" t="e">
        <f>_xll.DBRW($C$1,$B$6,$B15,$F$6,$D$6,$H$6,F$8)</f>
        <v>#VALUE!</v>
      </c>
      <c r="G15" s="2" t="e">
        <f>_xll.DBRW($C$1,$B$6,$B15,$F$6,$D$6,$H$6,G$8)</f>
        <v>#VALUE!</v>
      </c>
      <c r="H15" s="2" t="e">
        <f>_xll.DBRW($C$1,$B$6,$B15,$F$6,$D$6,$H$6,H$8)</f>
        <v>#VALUE!</v>
      </c>
      <c r="I15" s="2" t="e">
        <f>_xll.DBRW($C$1,$B$6,$B15,$F$6,$D$6,$H$6,I$8)</f>
        <v>#VALUE!</v>
      </c>
      <c r="J15" s="2" t="e">
        <f>_xll.DBRW($C$1,$B$6,$B15,$F$6,$D$6,$H$6,J$8)</f>
        <v>#VALUE!</v>
      </c>
      <c r="K15" s="2" t="e">
        <f>_xll.DBRW($C$1,$B$6,$B15,$F$6,$D$6,$H$6,K$8)</f>
        <v>#VALUE!</v>
      </c>
    </row>
    <row r="16" spans="2:17" x14ac:dyDescent="0.25">
      <c r="B16" s="10" t="s">
        <v>18</v>
      </c>
      <c r="C16" s="2" t="e">
        <f>_xll.DBRW($C$1,$B$6,$B16,$F$6,$D$6,$H$6,C$8)</f>
        <v>#VALUE!</v>
      </c>
      <c r="D16" s="2" t="e">
        <f>_xll.DBRW($C$1,$B$6,$B16,$F$6,$D$6,$H$6,D$8)</f>
        <v>#VALUE!</v>
      </c>
      <c r="E16" s="2" t="e">
        <f>_xll.DBRW($C$1,$B$6,$B16,$F$6,$D$6,$H$6,E$8)</f>
        <v>#VALUE!</v>
      </c>
      <c r="F16" s="11" t="e">
        <f>_xll.DBRW($C$1,$B$6,$B16,$F$6,$D$6,$H$6,F$8)</f>
        <v>#VALUE!</v>
      </c>
      <c r="G16" s="2" t="e">
        <f>_xll.DBRW($C$1,$B$6,$B16,$F$6,$D$6,$H$6,G$8)</f>
        <v>#VALUE!</v>
      </c>
      <c r="H16" s="2" t="e">
        <f>_xll.DBRW($C$1,$B$6,$B16,$F$6,$D$6,$H$6,H$8)</f>
        <v>#VALUE!</v>
      </c>
      <c r="I16" s="2" t="e">
        <f>_xll.DBRW($C$1,$B$6,$B16,$F$6,$D$6,$H$6,I$8)</f>
        <v>#VALUE!</v>
      </c>
      <c r="J16" s="2" t="e">
        <f>_xll.DBRW($C$1,$B$6,$B16,$F$6,$D$6,$H$6,J$8)</f>
        <v>#VALUE!</v>
      </c>
      <c r="K16" s="2" t="e">
        <f>_xll.DBRW($C$1,$B$6,$B16,$F$6,$D$6,$H$6,K$8)</f>
        <v>#VALUE!</v>
      </c>
    </row>
    <row r="17" spans="2:11" x14ac:dyDescent="0.25">
      <c r="B17" s="10" t="s">
        <v>19</v>
      </c>
      <c r="C17" s="2" t="e">
        <f>_xll.DBRW($C$1,$B$6,$B17,$F$6,$D$6,$H$6,C$8)</f>
        <v>#VALUE!</v>
      </c>
      <c r="D17" s="2" t="e">
        <f>_xll.DBRW($C$1,$B$6,$B17,$F$6,$D$6,$H$6,D$8)</f>
        <v>#VALUE!</v>
      </c>
      <c r="E17" s="2" t="e">
        <f>_xll.DBRW($C$1,$B$6,$B17,$F$6,$D$6,$H$6,E$8)</f>
        <v>#VALUE!</v>
      </c>
      <c r="F17" s="11" t="e">
        <f>_xll.DBRW($C$1,$B$6,$B17,$F$6,$D$6,$H$6,F$8)</f>
        <v>#VALUE!</v>
      </c>
      <c r="G17" s="2" t="e">
        <f>_xll.DBRW($C$1,$B$6,$B17,$F$6,$D$6,$H$6,G$8)</f>
        <v>#VALUE!</v>
      </c>
      <c r="H17" s="2" t="e">
        <f>_xll.DBRW($C$1,$B$6,$B17,$F$6,$D$6,$H$6,H$8)</f>
        <v>#VALUE!</v>
      </c>
      <c r="I17" s="2" t="e">
        <f>_xll.DBRW($C$1,$B$6,$B17,$F$6,$D$6,$H$6,I$8)</f>
        <v>#VALUE!</v>
      </c>
      <c r="J17" s="2" t="e">
        <f>_xll.DBRW($C$1,$B$6,$B17,$F$6,$D$6,$H$6,J$8)</f>
        <v>#VALUE!</v>
      </c>
      <c r="K17" s="2" t="e">
        <f>_xll.DBRW($C$1,$B$6,$B17,$F$6,$D$6,$H$6,K$8)</f>
        <v>#VALUE!</v>
      </c>
    </row>
    <row r="18" spans="2:11" x14ac:dyDescent="0.25">
      <c r="B18" s="10" t="s">
        <v>20</v>
      </c>
      <c r="C18" s="2" t="e">
        <f>_xll.DBRW($C$1,$B$6,$B18,$F$6,$D$6,$H$6,C$8)</f>
        <v>#VALUE!</v>
      </c>
      <c r="D18" s="2" t="e">
        <f>_xll.DBRW($C$1,$B$6,$B18,$F$6,$D$6,$H$6,D$8)</f>
        <v>#VALUE!</v>
      </c>
      <c r="E18" s="2" t="e">
        <f>_xll.DBRW($C$1,$B$6,$B18,$F$6,$D$6,$H$6,E$8)</f>
        <v>#VALUE!</v>
      </c>
      <c r="F18" s="11" t="e">
        <f>_xll.DBRW($C$1,$B$6,$B18,$F$6,$D$6,$H$6,F$8)</f>
        <v>#VALUE!</v>
      </c>
      <c r="G18" s="2" t="e">
        <f>_xll.DBRW($C$1,$B$6,$B18,$F$6,$D$6,$H$6,G$8)</f>
        <v>#VALUE!</v>
      </c>
      <c r="H18" s="2" t="e">
        <f>_xll.DBRW($C$1,$B$6,$B18,$F$6,$D$6,$H$6,H$8)</f>
        <v>#VALUE!</v>
      </c>
      <c r="I18" s="2" t="e">
        <f>_xll.DBRW($C$1,$B$6,$B18,$F$6,$D$6,$H$6,I$8)</f>
        <v>#VALUE!</v>
      </c>
      <c r="J18" s="2" t="e">
        <f>_xll.DBRW($C$1,$B$6,$B18,$F$6,$D$6,$H$6,J$8)</f>
        <v>#VALUE!</v>
      </c>
      <c r="K18" s="2" t="e">
        <f>_xll.DBRW($C$1,$B$6,$B18,$F$6,$D$6,$H$6,K$8)</f>
        <v>#VALUE!</v>
      </c>
    </row>
    <row r="19" spans="2:11" x14ac:dyDescent="0.25">
      <c r="B19" s="10" t="s">
        <v>21</v>
      </c>
      <c r="C19" s="2" t="e">
        <f>_xll.DBRW($C$1,$B$6,$B19,$F$6,$D$6,$H$6,C$8)</f>
        <v>#VALUE!</v>
      </c>
      <c r="D19" s="2" t="e">
        <f>_xll.DBRW($C$1,$B$6,$B19,$F$6,$D$6,$H$6,D$8)</f>
        <v>#VALUE!</v>
      </c>
      <c r="E19" s="2" t="e">
        <f>_xll.DBRW($C$1,$B$6,$B19,$F$6,$D$6,$H$6,E$8)</f>
        <v>#VALUE!</v>
      </c>
      <c r="F19" s="11" t="e">
        <f>_xll.DBRW($C$1,$B$6,$B19,$F$6,$D$6,$H$6,F$8)</f>
        <v>#VALUE!</v>
      </c>
      <c r="G19" s="2" t="e">
        <f>_xll.DBRW($C$1,$B$6,$B19,$F$6,$D$6,$H$6,G$8)</f>
        <v>#VALUE!</v>
      </c>
      <c r="H19" s="2" t="e">
        <f>_xll.DBRW($C$1,$B$6,$B19,$F$6,$D$6,$H$6,H$8)</f>
        <v>#VALUE!</v>
      </c>
      <c r="I19" s="2" t="e">
        <f>_xll.DBRW($C$1,$B$6,$B19,$F$6,$D$6,$H$6,I$8)</f>
        <v>#VALUE!</v>
      </c>
      <c r="J19" s="2" t="e">
        <f>_xll.DBRW($C$1,$B$6,$B19,$F$6,$D$6,$H$6,J$8)</f>
        <v>#VALUE!</v>
      </c>
      <c r="K19" s="2" t="e">
        <f>_xll.DBRW($C$1,$B$6,$B19,$F$6,$D$6,$H$6,K$8)</f>
        <v>#VALUE!</v>
      </c>
    </row>
  </sheetData>
  <mergeCells count="8">
    <mergeCell ref="B5:C5"/>
    <mergeCell ref="D5:E5"/>
    <mergeCell ref="F5:G5"/>
    <mergeCell ref="H5:I5"/>
    <mergeCell ref="B6:C6"/>
    <mergeCell ref="D6:E6"/>
    <mergeCell ref="F6:G6"/>
    <mergeCell ref="H6:I6"/>
  </mergeCells>
  <phoneticPr fontId="12" type="noConversion"/>
  <pageMargins left="0.7" right="0.7" top="0.75" bottom="0.75" header="0.3" footer="0.3"/>
  <pageSetup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B18:B31"/>
  <sheetViews>
    <sheetView workbookViewId="0"/>
  </sheetViews>
  <sheetFormatPr defaultRowHeight="15" x14ac:dyDescent="0.25"/>
  <sheetData>
    <row r="18" spans="2:2" x14ac:dyDescent="0.25">
      <c r="B18" t="s">
        <v>247</v>
      </c>
    </row>
    <row r="19" spans="2:2" x14ac:dyDescent="0.25">
      <c r="B19" t="s">
        <v>248</v>
      </c>
    </row>
    <row r="20" spans="2:2" x14ac:dyDescent="0.25">
      <c r="B20" t="s">
        <v>249</v>
      </c>
    </row>
    <row r="21" spans="2:2" x14ac:dyDescent="0.25">
      <c r="B21" t="s">
        <v>250</v>
      </c>
    </row>
    <row r="22" spans="2:2" x14ac:dyDescent="0.25">
      <c r="B22" t="s">
        <v>251</v>
      </c>
    </row>
    <row r="23" spans="2:2" x14ac:dyDescent="0.25">
      <c r="B23" t="s">
        <v>252</v>
      </c>
    </row>
    <row r="24" spans="2:2" x14ac:dyDescent="0.25">
      <c r="B24" t="s">
        <v>253</v>
      </c>
    </row>
    <row r="25" spans="2:2" x14ac:dyDescent="0.25">
      <c r="B25" t="s">
        <v>254</v>
      </c>
    </row>
    <row r="26" spans="2:2" x14ac:dyDescent="0.25">
      <c r="B26" t="s">
        <v>255</v>
      </c>
    </row>
    <row r="27" spans="2:2" x14ac:dyDescent="0.25">
      <c r="B27" t="s">
        <v>256</v>
      </c>
    </row>
    <row r="28" spans="2:2" x14ac:dyDescent="0.25">
      <c r="B28" t="s">
        <v>257</v>
      </c>
    </row>
    <row r="29" spans="2:2" x14ac:dyDescent="0.25">
      <c r="B29" t="s">
        <v>258</v>
      </c>
    </row>
    <row r="30" spans="2:2" x14ac:dyDescent="0.25">
      <c r="B30" t="s">
        <v>259</v>
      </c>
    </row>
    <row r="31" spans="2:2" x14ac:dyDescent="0.25">
      <c r="B31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24</vt:i4>
      </vt:variant>
    </vt:vector>
  </HeadingPairs>
  <TitlesOfParts>
    <vt:vector size="38" baseType="lpstr">
      <vt:lpstr>TgtVar</vt:lpstr>
      <vt:lpstr>PL</vt:lpstr>
      <vt:lpstr>AllocDefintion</vt:lpstr>
      <vt:lpstr>AllocDetail</vt:lpstr>
      <vt:lpstr>AllocSummary</vt:lpstr>
      <vt:lpstr>PLReport</vt:lpstr>
      <vt:lpstr>Fcst</vt:lpstr>
      <vt:lpstr>FcstDetail</vt:lpstr>
      <vt:lpstr>FxVar</vt:lpstr>
      <vt:lpstr>FxRates</vt:lpstr>
      <vt:lpstr>{PL}PickLst</vt:lpstr>
      <vt:lpstr>Lookup</vt:lpstr>
      <vt:lpstr>AllocationIn</vt:lpstr>
      <vt:lpstr>{AR}01</vt:lpstr>
      <vt:lpstr>FcstMethods</vt:lpstr>
      <vt:lpstr>AllocDefintion!OpExSubsets</vt:lpstr>
      <vt:lpstr>OpExSubsets</vt:lpstr>
      <vt:lpstr>RowFilter</vt:lpstr>
      <vt:lpstr>AllocDefintion!SelectYesNo</vt:lpstr>
      <vt:lpstr>SelectYesNo</vt:lpstr>
      <vt:lpstr>AllocDefintion!TM1RPTDATARNG1</vt:lpstr>
      <vt:lpstr>FxVar!TM1RPTDATARNG1</vt:lpstr>
      <vt:lpstr>TgtVar!TM1RPTDATARNG1</vt:lpstr>
      <vt:lpstr>AllocDetail!TM1RPTDATARNG2</vt:lpstr>
      <vt:lpstr>Fcst!TM1RPTDATARNG3</vt:lpstr>
      <vt:lpstr>PL!TM1RPTDATARNG3</vt:lpstr>
      <vt:lpstr>AllocDefintion!TM1RPTFMTIDCOL</vt:lpstr>
      <vt:lpstr>AllocDetail!TM1RPTFMTIDCOL</vt:lpstr>
      <vt:lpstr>Fcst!TM1RPTFMTIDCOL</vt:lpstr>
      <vt:lpstr>FxVar!TM1RPTFMTIDCOL</vt:lpstr>
      <vt:lpstr>PL!TM1RPTFMTIDCOL</vt:lpstr>
      <vt:lpstr>TgtVar!TM1RPTFMTIDCOL</vt:lpstr>
      <vt:lpstr>AllocDefintion!TM1RPTFMTRNG</vt:lpstr>
      <vt:lpstr>AllocDetail!TM1RPTFMTRNG</vt:lpstr>
      <vt:lpstr>Fcst!TM1RPTFMTRNG</vt:lpstr>
      <vt:lpstr>FxVar!TM1RPTFMTRNG</vt:lpstr>
      <vt:lpstr>PL!TM1RPTFMTRNG</vt:lpstr>
      <vt:lpstr>TgtVar!TM1RPTFMTRNG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ibmuser</dc:creator>
  <cp:lastModifiedBy>Administrator</cp:lastModifiedBy>
  <dcterms:created xsi:type="dcterms:W3CDTF">2012-02-09T13:42:08Z</dcterms:created>
  <dcterms:modified xsi:type="dcterms:W3CDTF">2022-11-16T19:23:07Z</dcterms:modified>
</cp:coreProperties>
</file>